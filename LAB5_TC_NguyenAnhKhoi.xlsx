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HCMUNRE_KiemThu\LAB5\"/>
    </mc:Choice>
  </mc:AlternateContent>
  <xr:revisionPtr revIDLastSave="0" documentId="13_ncr:1_{D7EBEC82-1BA1-4EFD-851C-5CFC90AB84C6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7" i="4" l="1"/>
  <c r="J28" i="4"/>
  <c r="J29" i="4"/>
  <c r="J32" i="4"/>
  <c r="J33" i="4"/>
  <c r="J34" i="4"/>
  <c r="J35" i="4"/>
  <c r="J36" i="4"/>
  <c r="J37" i="4"/>
  <c r="J38" i="4"/>
  <c r="J39" i="4"/>
  <c r="J40" i="4"/>
  <c r="J43" i="4"/>
  <c r="J44" i="4"/>
  <c r="J45" i="4"/>
  <c r="J46" i="4"/>
  <c r="J47" i="4"/>
  <c r="J48" i="4"/>
  <c r="J49" i="4"/>
  <c r="J50" i="4"/>
  <c r="J51" i="4"/>
  <c r="J56" i="4"/>
  <c r="J57" i="4"/>
  <c r="J58" i="4"/>
</calcChain>
</file>

<file path=xl/sharedStrings.xml><?xml version="1.0" encoding="utf-8"?>
<sst xmlns="http://schemas.openxmlformats.org/spreadsheetml/2006/main" count="831" uniqueCount="422">
  <si>
    <t>Test Case ID</t>
  </si>
  <si>
    <t>Mô tả test</t>
  </si>
  <si>
    <t>Người tạo</t>
  </si>
  <si>
    <t>Nguyễn Anh Khôi</t>
  </si>
  <si>
    <t>Người review</t>
  </si>
  <si>
    <t>Thầy Phạm Trọng Huynh</t>
  </si>
  <si>
    <t>Phiên bản</t>
  </si>
  <si>
    <t>2.1</t>
  </si>
  <si>
    <t>Nhật ký QA</t>
  </si>
  <si>
    <t>Người kiểm thử</t>
  </si>
  <si>
    <t>Ngày kiểm thử</t>
  </si>
  <si>
    <t>Trạng thái test</t>
  </si>
  <si>
    <t>LAB5_BAI1</t>
  </si>
  <si>
    <t>STT</t>
  </si>
  <si>
    <t>Điều kiện</t>
  </si>
  <si>
    <t>Loại vùng</t>
  </si>
  <si>
    <t>Hợp lệ</t>
  </si>
  <si>
    <t>Không hợp lệ</t>
  </si>
  <si>
    <t>TC ID</t>
  </si>
  <si>
    <t>Mô tả test case</t>
  </si>
  <si>
    <t>Kết quả mong đợi</t>
  </si>
  <si>
    <t>TC01</t>
  </si>
  <si>
    <t>DL05, DL06</t>
  </si>
  <si>
    <t>TC02</t>
  </si>
  <si>
    <t>DL01</t>
  </si>
  <si>
    <t>TC03</t>
  </si>
  <si>
    <t>DL02</t>
  </si>
  <si>
    <t>TC04</t>
  </si>
  <si>
    <t>DL03</t>
  </si>
  <si>
    <t>TC05</t>
  </si>
  <si>
    <t>DL04</t>
  </si>
  <si>
    <t>TC06</t>
  </si>
  <si>
    <t>DL07</t>
  </si>
  <si>
    <r>
      <t xml:space="preserve">Kiểm tra </t>
    </r>
    <r>
      <rPr>
        <sz val="13"/>
        <color theme="1"/>
        <rFont val="Arial Unicode MS"/>
      </rPr>
      <t>factorial(0)</t>
    </r>
  </si>
  <si>
    <r>
      <t xml:space="preserve">Kiểm tra </t>
    </r>
    <r>
      <rPr>
        <sz val="13"/>
        <color theme="1"/>
        <rFont val="Arial Unicode MS"/>
      </rPr>
      <t>factorial(1)</t>
    </r>
  </si>
  <si>
    <r>
      <t xml:space="preserve">Kiểm tra </t>
    </r>
    <r>
      <rPr>
        <sz val="13"/>
        <color theme="1"/>
        <rFont val="Arial Unicode MS"/>
      </rPr>
      <t>factorial(5)</t>
    </r>
  </si>
  <si>
    <r>
      <t xml:space="preserve">Kiểm tra test </t>
    </r>
    <r>
      <rPr>
        <sz val="13"/>
        <color theme="1"/>
        <rFont val="Arial Unicode MS"/>
      </rPr>
      <t>todo</t>
    </r>
    <r>
      <rPr>
        <sz val="13"/>
        <color theme="1"/>
        <rFont val="Arial"/>
        <family val="2"/>
        <scheme val="minor"/>
      </rPr>
      <t xml:space="preserve"> bị bỏ qua</t>
    </r>
  </si>
  <si>
    <t>LAB5_BAI2</t>
  </si>
  <si>
    <t>DL01, DL02</t>
  </si>
  <si>
    <t>DL01, DL03, DL04</t>
  </si>
  <si>
    <t>LAB5_BAI3</t>
  </si>
  <si>
    <t>Pass/Fail</t>
  </si>
  <si>
    <t>Đã thiết kế test để xác nhận hoạt động của test fixture và các annotation JUnit4: chạy trước toàn bộ, trước mỗi test, sau mỗi test, sau toàn bộ; kiểm thử assert, ignore, timeout và expected exception.</t>
  </si>
  <si>
    <t>DL05</t>
  </si>
  <si>
    <t>TC07</t>
  </si>
  <si>
    <t>DL06</t>
  </si>
  <si>
    <t>TC08</t>
  </si>
  <si>
    <t>Kiểm thử các annotation JUnit4: @BeforeClass, @Before, @After, @AfterClass, @Test, @Ignore, @Test(timeout), @Test(expected)</t>
  </si>
  <si>
    <t>Test timeout không vượt quá thời gian</t>
  </si>
  <si>
    <t>Test expected phải ném đúng exception</t>
  </si>
  <si>
    <r>
      <t>@BeforeClass</t>
    </r>
    <r>
      <rPr>
        <sz val="13"/>
        <color theme="1"/>
        <rFont val="Arial"/>
        <family val="2"/>
        <scheme val="minor"/>
      </rPr>
      <t xml:space="preserve"> chạy trước toàn bộ test</t>
    </r>
  </si>
  <si>
    <r>
      <t>@AfterClass</t>
    </r>
    <r>
      <rPr>
        <sz val="13"/>
        <color theme="1"/>
        <rFont val="Arial"/>
        <family val="2"/>
        <scheme val="minor"/>
      </rPr>
      <t xml:space="preserve"> chạy sau toàn bộ test</t>
    </r>
  </si>
  <si>
    <r>
      <t>@Before</t>
    </r>
    <r>
      <rPr>
        <sz val="13"/>
        <color theme="1"/>
        <rFont val="Arial"/>
        <family val="2"/>
        <scheme val="minor"/>
      </rPr>
      <t xml:space="preserve"> chạy trước mỗi test</t>
    </r>
  </si>
  <si>
    <r>
      <t>@After</t>
    </r>
    <r>
      <rPr>
        <sz val="13"/>
        <color theme="1"/>
        <rFont val="Arial"/>
        <family val="2"/>
        <scheme val="minor"/>
      </rPr>
      <t xml:space="preserve"> chạy sau mỗi test</t>
    </r>
  </si>
  <si>
    <r>
      <t xml:space="preserve">Test </t>
    </r>
    <r>
      <rPr>
        <sz val="13"/>
        <color theme="1"/>
        <rFont val="Arial Unicode MS"/>
      </rPr>
      <t>@Ignore</t>
    </r>
    <r>
      <rPr>
        <sz val="13"/>
        <color theme="1"/>
        <rFont val="Arial"/>
        <family val="2"/>
        <scheme val="minor"/>
      </rPr>
      <t xml:space="preserve"> không được chạy</t>
    </r>
  </si>
  <si>
    <t>Dữ liệu</t>
  </si>
  <si>
    <t>List rỗng</t>
  </si>
  <si>
    <t>Timeout = 10ms</t>
  </si>
  <si>
    <r>
      <t xml:space="preserve">Thêm phần tử </t>
    </r>
    <r>
      <rPr>
        <sz val="13"/>
        <color theme="1"/>
        <rFont val="Arial Unicode MS"/>
      </rPr>
      <t>"test"</t>
    </r>
  </si>
  <si>
    <r>
      <t xml:space="preserve">Exception </t>
    </r>
    <r>
      <rPr>
        <sz val="13"/>
        <color theme="1"/>
        <rFont val="Arial Unicode MS"/>
      </rPr>
      <t>NoSuchMethodException</t>
    </r>
  </si>
  <si>
    <t>Chạy 1 lần trước tất cả test</t>
  </si>
  <si>
    <t>List được khởi tạo</t>
  </si>
  <si>
    <t>Kiểm tra thêm phần tử vào list</t>
  </si>
  <si>
    <t>List không rỗng, size = 1</t>
  </si>
  <si>
    <t>List được clear</t>
  </si>
  <si>
    <t>Test không được thực thi</t>
  </si>
  <si>
    <t>Kiểm tra timeout</t>
  </si>
  <si>
    <t>Test chạy không quá 10ms</t>
  </si>
  <si>
    <t>Kiểm tra expected exception</t>
  </si>
  <si>
    <t>Chạy 1 lần sau tất cả test</t>
  </si>
  <si>
    <r>
      <t xml:space="preserve">Kiểm tra </t>
    </r>
    <r>
      <rPr>
        <sz val="13"/>
        <color theme="1"/>
        <rFont val="Arial Unicode MS"/>
      </rPr>
      <t>@BeforeClass</t>
    </r>
  </si>
  <si>
    <r>
      <t xml:space="preserve">Kiểm tra </t>
    </r>
    <r>
      <rPr>
        <sz val="13"/>
        <color theme="1"/>
        <rFont val="Arial Unicode MS"/>
      </rPr>
      <t>@Before</t>
    </r>
  </si>
  <si>
    <r>
      <t xml:space="preserve">Kiểm tra </t>
    </r>
    <r>
      <rPr>
        <sz val="13"/>
        <color theme="1"/>
        <rFont val="Arial Unicode MS"/>
      </rPr>
      <t>@After</t>
    </r>
  </si>
  <si>
    <r>
      <t xml:space="preserve">Kiểm tra </t>
    </r>
    <r>
      <rPr>
        <sz val="13"/>
        <color theme="1"/>
        <rFont val="Arial Unicode MS"/>
      </rPr>
      <t>@Ignore</t>
    </r>
  </si>
  <si>
    <r>
      <t xml:space="preserve">Ném đúng </t>
    </r>
    <r>
      <rPr>
        <sz val="13"/>
        <color theme="1"/>
        <rFont val="Arial Unicode MS"/>
      </rPr>
      <t>NoSuchMethodException</t>
    </r>
  </si>
  <si>
    <r>
      <t xml:space="preserve">Kiểm tra </t>
    </r>
    <r>
      <rPr>
        <sz val="13"/>
        <color theme="1"/>
        <rFont val="Arial Unicode MS"/>
      </rPr>
      <t>@AfterClass</t>
    </r>
  </si>
  <si>
    <t>Không cần dữ liệu</t>
  </si>
  <si>
    <t>VÙNG</t>
  </si>
  <si>
    <t>Mô tả</t>
  </si>
  <si>
    <t>VÙNG 1</t>
  </si>
  <si>
    <t>VÙNG 2</t>
  </si>
  <si>
    <t>VÙNG 3</t>
  </si>
  <si>
    <t>List sau khi thêm phần tử → không rỗng, size = 1</t>
  </si>
  <si>
    <t>VÙNG 4</t>
  </si>
  <si>
    <t>List rỗng hoặc size khác 1</t>
  </si>
  <si>
    <t>VÙNG 5</t>
  </si>
  <si>
    <t>VÙNG 6</t>
  </si>
  <si>
    <t>Test timeout chạy trong ≤ 10ms</t>
  </si>
  <si>
    <t>VÙNG 7</t>
  </si>
  <si>
    <t>Test timeout vượt quá 10ms</t>
  </si>
  <si>
    <t>VÙNG 8</t>
  </si>
  <si>
    <t>VÙNG 9</t>
  </si>
  <si>
    <t>Không ném hoặc ném sai exception</t>
  </si>
  <si>
    <r>
      <t>@BeforeClass</t>
    </r>
    <r>
      <rPr>
        <sz val="13"/>
        <color theme="1"/>
        <rFont val="Arial"/>
        <family val="2"/>
        <scheme val="minor"/>
      </rPr>
      <t xml:space="preserve"> và </t>
    </r>
    <r>
      <rPr>
        <sz val="13"/>
        <color theme="1"/>
        <rFont val="Arial Unicode MS"/>
      </rPr>
      <t>@AfterClass</t>
    </r>
    <r>
      <rPr>
        <sz val="13"/>
        <color theme="1"/>
        <rFont val="Arial"/>
        <family val="2"/>
        <scheme val="minor"/>
      </rPr>
      <t xml:space="preserve"> chạy đúng 1 lần</t>
    </r>
  </si>
  <si>
    <r>
      <t>@Before</t>
    </r>
    <r>
      <rPr>
        <sz val="13"/>
        <color theme="1"/>
        <rFont val="Arial"/>
        <family val="2"/>
        <scheme val="minor"/>
      </rPr>
      <t xml:space="preserve"> và </t>
    </r>
    <r>
      <rPr>
        <sz val="13"/>
        <color theme="1"/>
        <rFont val="Arial Unicode MS"/>
      </rPr>
      <t>@After</t>
    </r>
    <r>
      <rPr>
        <sz val="13"/>
        <color theme="1"/>
        <rFont val="Arial"/>
        <family val="2"/>
        <scheme val="minor"/>
      </rPr>
      <t xml:space="preserve"> chạy trước và sau mỗi test</t>
    </r>
  </si>
  <si>
    <r>
      <t xml:space="preserve">Test có </t>
    </r>
    <r>
      <rPr>
        <sz val="13"/>
        <color theme="1"/>
        <rFont val="Arial Unicode MS"/>
      </rPr>
      <t>@Ignore</t>
    </r>
    <r>
      <rPr>
        <sz val="13"/>
        <color theme="1"/>
        <rFont val="Arial"/>
        <family val="2"/>
        <scheme val="minor"/>
      </rPr>
      <t xml:space="preserve"> không được thực thi</t>
    </r>
  </si>
  <si>
    <r>
      <t xml:space="preserve">Test ném đúng </t>
    </r>
    <r>
      <rPr>
        <sz val="13"/>
        <color theme="1"/>
        <rFont val="Arial Unicode MS"/>
      </rPr>
      <t>NoSuchMethodException</t>
    </r>
  </si>
  <si>
    <t>Kiểm thử factorial(), plus(), biến đếm calls, và sử dụng @Before/@After/@Ignore</t>
  </si>
  <si>
    <r>
      <t>@Before</t>
    </r>
    <r>
      <rPr>
        <sz val="13"/>
        <color theme="1"/>
        <rFont val="Arial"/>
        <family val="2"/>
        <scheme val="minor"/>
      </rPr>
      <t xml:space="preserve"> tạo mới đối tượng </t>
    </r>
    <r>
      <rPr>
        <sz val="13"/>
        <color theme="1"/>
        <rFont val="Arial Unicode MS"/>
      </rPr>
      <t>math = new MathFunc()</t>
    </r>
    <r>
      <rPr>
        <sz val="13"/>
        <color theme="1"/>
        <rFont val="Arial"/>
        <family val="2"/>
        <scheme val="minor"/>
      </rPr>
      <t xml:space="preserve"> trước mỗi test</t>
    </r>
  </si>
  <si>
    <r>
      <t>@After</t>
    </r>
    <r>
      <rPr>
        <sz val="13"/>
        <color theme="1"/>
        <rFont val="Arial"/>
        <family val="2"/>
        <scheme val="minor"/>
      </rPr>
      <t xml:space="preserve"> gán </t>
    </r>
    <r>
      <rPr>
        <sz val="13"/>
        <color theme="1"/>
        <rFont val="Arial Unicode MS"/>
      </rPr>
      <t>math = null</t>
    </r>
    <r>
      <rPr>
        <sz val="13"/>
        <color theme="1"/>
        <rFont val="Arial"/>
        <family val="2"/>
        <scheme val="minor"/>
      </rPr>
      <t xml:space="preserve"> sau mỗi test</t>
    </r>
  </si>
  <si>
    <r>
      <t>getCalls()</t>
    </r>
    <r>
      <rPr>
        <sz val="13"/>
        <color theme="1"/>
        <rFont val="Arial"/>
        <family val="2"/>
        <scheme val="minor"/>
      </rPr>
      <t xml:space="preserve"> ban đầu = 0</t>
    </r>
  </si>
  <si>
    <r>
      <t xml:space="preserve">Mỗi lần gọi </t>
    </r>
    <r>
      <rPr>
        <sz val="13"/>
        <color theme="1"/>
        <rFont val="Arial Unicode MS"/>
      </rPr>
      <t>factorial(x)</t>
    </r>
    <r>
      <rPr>
        <sz val="13"/>
        <color theme="1"/>
        <rFont val="Arial"/>
        <family val="2"/>
        <scheme val="minor"/>
      </rPr>
      <t xml:space="preserve"> thì </t>
    </r>
    <r>
      <rPr>
        <sz val="13"/>
        <color theme="1"/>
        <rFont val="Arial Unicode MS"/>
      </rPr>
      <t>calls</t>
    </r>
    <r>
      <rPr>
        <sz val="13"/>
        <color theme="1"/>
        <rFont val="Arial"/>
        <family val="2"/>
        <scheme val="minor"/>
      </rPr>
      <t xml:space="preserve"> tăng 1</t>
    </r>
  </si>
  <si>
    <r>
      <t>factorial(0)=1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factorial(1)=1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factorial(5)=120</t>
    </r>
  </si>
  <si>
    <r>
      <t>factorial(n&lt;0)</t>
    </r>
    <r>
      <rPr>
        <sz val="13"/>
        <color theme="1"/>
        <rFont val="Arial"/>
        <family val="2"/>
        <scheme val="minor"/>
      </rPr>
      <t xml:space="preserve"> ném </t>
    </r>
    <r>
      <rPr>
        <sz val="13"/>
        <color theme="1"/>
        <rFont val="Arial Unicode MS"/>
      </rPr>
      <t>IllegalArgumentException</t>
    </r>
  </si>
  <si>
    <r>
      <t xml:space="preserve">Test có </t>
    </r>
    <r>
      <rPr>
        <sz val="13"/>
        <color theme="1"/>
        <rFont val="Arial Unicode MS"/>
      </rPr>
      <t>@Ignore</t>
    </r>
    <r>
      <rPr>
        <sz val="13"/>
        <color theme="1"/>
        <rFont val="Arial"/>
        <family val="2"/>
        <scheme val="minor"/>
      </rPr>
      <t xml:space="preserve"> sẽ không chạy</t>
    </r>
  </si>
  <si>
    <t>factorial(0)</t>
  </si>
  <si>
    <t>factorial(1)</t>
  </si>
  <si>
    <t>factorial(5)</t>
  </si>
  <si>
    <t>factorial(-1)</t>
  </si>
  <si>
    <r>
      <t xml:space="preserve">Gọi </t>
    </r>
    <r>
      <rPr>
        <sz val="13"/>
        <color theme="1"/>
        <rFont val="Arial Unicode MS"/>
      </rPr>
      <t>factorial(1)</t>
    </r>
    <r>
      <rPr>
        <sz val="13"/>
        <color theme="1"/>
        <rFont val="Arial"/>
        <family val="2"/>
        <scheme val="minor"/>
      </rPr>
      <t xml:space="preserve"> lần 1 (để tăng calls)</t>
    </r>
  </si>
  <si>
    <r>
      <t xml:space="preserve">Gọi </t>
    </r>
    <r>
      <rPr>
        <sz val="13"/>
        <color theme="1"/>
        <rFont val="Arial Unicode MS"/>
      </rPr>
      <t>factorial(1)</t>
    </r>
    <r>
      <rPr>
        <sz val="13"/>
        <color theme="1"/>
        <rFont val="Arial"/>
        <family val="2"/>
        <scheme val="minor"/>
      </rPr>
      <t xml:space="preserve"> lần 2 (để tăng calls)</t>
    </r>
  </si>
  <si>
    <r>
      <t>plus(1,1)</t>
    </r>
    <r>
      <rPr>
        <sz val="13"/>
        <color theme="1"/>
        <rFont val="Arial"/>
        <family val="2"/>
        <scheme val="minor"/>
      </rPr>
      <t xml:space="preserve"> (test </t>
    </r>
    <r>
      <rPr>
        <sz val="13"/>
        <color theme="1"/>
        <rFont val="Arial Unicode MS"/>
      </rPr>
      <t>todo</t>
    </r>
    <r>
      <rPr>
        <sz val="13"/>
        <color theme="1"/>
        <rFont val="Arial"/>
        <family val="2"/>
        <scheme val="minor"/>
      </rPr>
      <t xml:space="preserve"> – đang bị Ignore)</t>
    </r>
  </si>
  <si>
    <t>(Tham khảo) Không hợp lệ</t>
  </si>
  <si>
    <r>
      <t>factorial(n)</t>
    </r>
    <r>
      <rPr>
        <sz val="13"/>
        <color theme="1"/>
        <rFont val="Arial"/>
        <family val="2"/>
        <scheme val="minor"/>
      </rPr>
      <t xml:space="preserve"> với </t>
    </r>
    <r>
      <rPr>
        <sz val="13"/>
        <color theme="1"/>
        <rFont val="Arial Unicode MS"/>
      </rPr>
      <t>n &gt;= 0</t>
    </r>
  </si>
  <si>
    <r>
      <t>factorial(n)</t>
    </r>
    <r>
      <rPr>
        <sz val="13"/>
        <color theme="1"/>
        <rFont val="Arial"/>
        <family val="2"/>
        <scheme val="minor"/>
      </rPr>
      <t xml:space="preserve"> với </t>
    </r>
    <r>
      <rPr>
        <sz val="13"/>
        <color theme="1"/>
        <rFont val="Arial Unicode MS"/>
      </rPr>
      <t>n &lt; 0</t>
    </r>
    <r>
      <rPr>
        <sz val="13"/>
        <color theme="1"/>
        <rFont val="Arial"/>
        <family val="2"/>
        <scheme val="minor"/>
      </rPr>
      <t xml:space="preserve"> → ném exception</t>
    </r>
  </si>
  <si>
    <r>
      <t>calls</t>
    </r>
    <r>
      <rPr>
        <sz val="13"/>
        <color theme="1"/>
        <rFont val="Arial"/>
        <family val="2"/>
        <scheme val="minor"/>
      </rPr>
      <t xml:space="preserve"> tăng đúng theo số lần gọi </t>
    </r>
    <r>
      <rPr>
        <sz val="13"/>
        <color theme="1"/>
        <rFont val="Arial Unicode MS"/>
      </rPr>
      <t>factorial()</t>
    </r>
  </si>
  <si>
    <r>
      <t xml:space="preserve">Test </t>
    </r>
    <r>
      <rPr>
        <sz val="13"/>
        <color theme="1"/>
        <rFont val="Arial Unicode MS"/>
      </rPr>
      <t>@Ignore</t>
    </r>
    <r>
      <rPr>
        <sz val="13"/>
        <color theme="1"/>
        <rFont val="Arial"/>
        <family val="2"/>
        <scheme val="minor"/>
      </rPr>
      <t xml:space="preserve"> không được thực thi</t>
    </r>
  </si>
  <si>
    <r>
      <t>plus(a,b)</t>
    </r>
    <r>
      <rPr>
        <sz val="13"/>
        <color theme="1"/>
        <rFont val="Arial"/>
        <family val="2"/>
        <scheme val="minor"/>
      </rPr>
      <t xml:space="preserve"> trả sai kết quả (ví dụ 1+1≠3)</t>
    </r>
  </si>
  <si>
    <t>Trả về 1</t>
  </si>
  <si>
    <t>Trả về 120</t>
  </si>
  <si>
    <r>
      <t xml:space="preserve">Kiểm tra </t>
    </r>
    <r>
      <rPr>
        <sz val="13"/>
        <color theme="1"/>
        <rFont val="Arial Unicode MS"/>
      </rPr>
      <t>calls</t>
    </r>
    <r>
      <rPr>
        <sz val="13"/>
        <color theme="1"/>
        <rFont val="Arial"/>
        <family val="2"/>
        <scheme val="minor"/>
      </rPr>
      <t xml:space="preserve"> ban đầu và tăng theo số lần gọi </t>
    </r>
    <r>
      <rPr>
        <sz val="13"/>
        <color theme="1"/>
        <rFont val="Arial Unicode MS"/>
      </rPr>
      <t>factorial()</t>
    </r>
  </si>
  <si>
    <r>
      <t xml:space="preserve">Sau init: </t>
    </r>
    <r>
      <rPr>
        <sz val="13"/>
        <color theme="1"/>
        <rFont val="Arial Unicode MS"/>
      </rPr>
      <t>calls=0</t>
    </r>
    <r>
      <rPr>
        <sz val="13"/>
        <color theme="1"/>
        <rFont val="Arial"/>
        <family val="2"/>
        <scheme val="minor"/>
      </rPr>
      <t xml:space="preserve">; gọi lần 1 → </t>
    </r>
    <r>
      <rPr>
        <sz val="13"/>
        <color theme="1"/>
        <rFont val="Arial Unicode MS"/>
      </rPr>
      <t>calls=1</t>
    </r>
    <r>
      <rPr>
        <sz val="13"/>
        <color theme="1"/>
        <rFont val="Arial"/>
        <family val="2"/>
        <scheme val="minor"/>
      </rPr>
      <t xml:space="preserve">; gọi lần 2 → </t>
    </r>
    <r>
      <rPr>
        <sz val="13"/>
        <color theme="1"/>
        <rFont val="Arial Unicode MS"/>
      </rPr>
      <t>calls=2</t>
    </r>
  </si>
  <si>
    <r>
      <t xml:space="preserve">Kiểm tra </t>
    </r>
    <r>
      <rPr>
        <sz val="13"/>
        <color theme="1"/>
        <rFont val="Arial Unicode MS"/>
      </rPr>
      <t>factorial(-1)</t>
    </r>
  </si>
  <si>
    <r>
      <t xml:space="preserve">Ném </t>
    </r>
    <r>
      <rPr>
        <sz val="13"/>
        <color theme="1"/>
        <rFont val="Arial Unicode MS"/>
      </rPr>
      <t>IllegalArgumentException</t>
    </r>
    <r>
      <rPr>
        <sz val="13"/>
        <color theme="1"/>
        <rFont val="Arial"/>
        <family val="2"/>
        <scheme val="minor"/>
      </rPr>
      <t xml:space="preserve"> (Pass nếu bắt đúng)</t>
    </r>
  </si>
  <si>
    <r>
      <t xml:space="preserve">Test không chạy do </t>
    </r>
    <r>
      <rPr>
        <sz val="13"/>
        <color theme="1"/>
        <rFont val="Arial Unicode MS"/>
      </rPr>
      <t>@Ignore</t>
    </r>
  </si>
  <si>
    <t>Kiểm thử 2 lớp test: in message và so sánh chuỗi bằng assertEquals</t>
  </si>
  <si>
    <t>Test Pass khi assert đúng và không phát sinh lỗi</t>
  </si>
  <si>
    <r>
      <t>SuiteTest1</t>
    </r>
    <r>
      <rPr>
        <sz val="13"/>
        <color theme="1"/>
        <rFont val="Arial"/>
        <family val="2"/>
        <scheme val="minor"/>
      </rPr>
      <t xml:space="preserve"> có </t>
    </r>
    <r>
      <rPr>
        <sz val="13"/>
        <color theme="1"/>
        <rFont val="Arial Unicode MS"/>
      </rPr>
      <t>message="Fpoly"</t>
    </r>
    <r>
      <rPr>
        <sz val="13"/>
        <color theme="1"/>
        <rFont val="Arial"/>
        <family val="2"/>
        <scheme val="minor"/>
      </rPr>
      <t xml:space="preserve"> và </t>
    </r>
    <r>
      <rPr>
        <sz val="13"/>
        <color theme="1"/>
        <rFont val="Arial Unicode MS"/>
      </rPr>
      <t>junitMessage = new JUnitMessage(message)</t>
    </r>
  </si>
  <si>
    <r>
      <t>testJUnitMessage()</t>
    </r>
    <r>
      <rPr>
        <sz val="13"/>
        <color theme="1"/>
        <rFont val="Arial"/>
        <family val="2"/>
        <scheme val="minor"/>
      </rPr>
      <t xml:space="preserve"> chỉ in ra console và gọi </t>
    </r>
    <r>
      <rPr>
        <sz val="13"/>
        <color theme="1"/>
        <rFont val="Arial Unicode MS"/>
      </rPr>
      <t>printMessage()</t>
    </r>
    <r>
      <rPr>
        <sz val="13"/>
        <color theme="1"/>
        <rFont val="Arial"/>
        <family val="2"/>
        <scheme val="minor"/>
      </rPr>
      <t xml:space="preserve"> (không assert)</t>
    </r>
  </si>
  <si>
    <r>
      <t>testJUnitHiMessage()</t>
    </r>
    <r>
      <rPr>
        <sz val="13"/>
        <color theme="1"/>
        <rFont val="Arial"/>
        <family val="2"/>
        <scheme val="minor"/>
      </rPr>
      <t xml:space="preserve"> tạo </t>
    </r>
    <r>
      <rPr>
        <sz val="13"/>
        <color theme="1"/>
        <rFont val="Arial Unicode MS"/>
      </rPr>
      <t>message="Hi!"+message</t>
    </r>
    <r>
      <rPr>
        <sz val="13"/>
        <color theme="1"/>
        <rFont val="Arial"/>
        <family val="2"/>
        <scheme val="minor"/>
      </rPr>
      <t xml:space="preserve"> và </t>
    </r>
    <r>
      <rPr>
        <sz val="13"/>
        <color theme="1"/>
        <rFont val="Arial Unicode MS"/>
      </rPr>
      <t>assertEquals(message, printHiMessage())</t>
    </r>
  </si>
  <si>
    <r>
      <t>SuiteTest2.createAndSetName()</t>
    </r>
    <r>
      <rPr>
        <sz val="13"/>
        <color theme="1"/>
        <rFont val="Arial"/>
        <family val="2"/>
        <scheme val="minor"/>
      </rPr>
      <t xml:space="preserve"> so sánh </t>
    </r>
    <r>
      <rPr>
        <sz val="13"/>
        <color theme="1"/>
        <rFont val="Arial Unicode MS"/>
      </rPr>
      <t>expected</t>
    </r>
    <r>
      <rPr>
        <sz val="13"/>
        <color theme="1"/>
        <rFont val="Arial"/>
        <family val="2"/>
        <scheme val="minor"/>
      </rPr>
      <t xml:space="preserve"> và </t>
    </r>
    <r>
      <rPr>
        <sz val="13"/>
        <color theme="1"/>
        <rFont val="Arial Unicode MS"/>
      </rPr>
      <t>actual</t>
    </r>
    <r>
      <rPr>
        <sz val="13"/>
        <color theme="1"/>
        <rFont val="Arial"/>
        <family val="2"/>
        <scheme val="minor"/>
      </rPr>
      <t xml:space="preserve"> bằng </t>
    </r>
    <r>
      <rPr>
        <sz val="13"/>
        <color theme="1"/>
        <rFont val="Arial Unicode MS"/>
      </rPr>
      <t>Assert.assertEquals</t>
    </r>
  </si>
  <si>
    <t>message = "Fpoly"</t>
  </si>
  <si>
    <t>message = "Hi!Fpoly"</t>
  </si>
  <si>
    <t>expected = "Y"</t>
  </si>
  <si>
    <t>actual = "Y"</t>
  </si>
  <si>
    <r>
      <t xml:space="preserve">Gọi </t>
    </r>
    <r>
      <rPr>
        <sz val="13"/>
        <color theme="1"/>
        <rFont val="Arial Unicode MS"/>
      </rPr>
      <t>printMessage()</t>
    </r>
  </si>
  <si>
    <r>
      <t xml:space="preserve">Gọi </t>
    </r>
    <r>
      <rPr>
        <sz val="13"/>
        <color theme="1"/>
        <rFont val="Arial Unicode MS"/>
      </rPr>
      <t>printHiMessage()</t>
    </r>
  </si>
  <si>
    <r>
      <t>printMessage()</t>
    </r>
    <r>
      <rPr>
        <sz val="13"/>
        <color theme="1"/>
        <rFont val="Arial"/>
        <family val="2"/>
        <scheme val="minor"/>
      </rPr>
      <t xml:space="preserve"> chạy bình thường (không yêu cầu assert)</t>
    </r>
  </si>
  <si>
    <r>
      <t>printHiMessage()</t>
    </r>
    <r>
      <rPr>
        <sz val="13"/>
        <color theme="1"/>
        <rFont val="Arial"/>
        <family val="2"/>
        <scheme val="minor"/>
      </rPr>
      <t xml:space="preserve"> trả về đúng </t>
    </r>
    <r>
      <rPr>
        <sz val="13"/>
        <color theme="1"/>
        <rFont val="Arial Unicode MS"/>
      </rPr>
      <t>"Hi!"+message</t>
    </r>
  </si>
  <si>
    <r>
      <t>printHiMessage()</t>
    </r>
    <r>
      <rPr>
        <sz val="13"/>
        <color theme="1"/>
        <rFont val="Arial"/>
        <family val="2"/>
        <scheme val="minor"/>
      </rPr>
      <t xml:space="preserve"> trả về sai so với kỳ vọng → assert fail</t>
    </r>
  </si>
  <si>
    <r>
      <t>expected == actual</t>
    </r>
    <r>
      <rPr>
        <sz val="13"/>
        <color theme="1"/>
        <rFont val="Arial"/>
        <family val="2"/>
        <scheme val="minor"/>
      </rPr>
      <t xml:space="preserve"> (SuiteTest2)</t>
    </r>
  </si>
  <si>
    <r>
      <t>expected != actual</t>
    </r>
    <r>
      <rPr>
        <sz val="13"/>
        <color theme="1"/>
        <rFont val="Arial"/>
        <family val="2"/>
        <scheme val="minor"/>
      </rPr>
      <t xml:space="preserve"> → assert fail</t>
    </r>
  </si>
  <si>
    <r>
      <t xml:space="preserve">Kiểm tra </t>
    </r>
    <r>
      <rPr>
        <sz val="13"/>
        <color theme="1"/>
        <rFont val="Arial Unicode MS"/>
      </rPr>
      <t>SuiteTest1.testJUnitMessage()</t>
    </r>
  </si>
  <si>
    <r>
      <t xml:space="preserve">In log ra console, </t>
    </r>
    <r>
      <rPr>
        <sz val="13"/>
        <color theme="1"/>
        <rFont val="Arial Unicode MS"/>
      </rPr>
      <t>printMessage()</t>
    </r>
    <r>
      <rPr>
        <sz val="13"/>
        <color theme="1"/>
        <rFont val="Arial"/>
        <family val="2"/>
        <scheme val="minor"/>
      </rPr>
      <t xml:space="preserve"> chạy không lỗi</t>
    </r>
  </si>
  <si>
    <r>
      <t xml:space="preserve">Kiểm tra </t>
    </r>
    <r>
      <rPr>
        <sz val="13"/>
        <color theme="1"/>
        <rFont val="Arial Unicode MS"/>
      </rPr>
      <t>SuiteTest1.testJUnitHiMessage()</t>
    </r>
  </si>
  <si>
    <r>
      <t>printHiMessage()</t>
    </r>
    <r>
      <rPr>
        <sz val="13"/>
        <color theme="1"/>
        <rFont val="Arial"/>
        <family val="2"/>
        <scheme val="minor"/>
      </rPr>
      <t xml:space="preserve"> trả về </t>
    </r>
    <r>
      <rPr>
        <sz val="13"/>
        <color theme="1"/>
        <rFont val="Arial Unicode MS"/>
      </rPr>
      <t>"Hi!Fpoly"</t>
    </r>
    <r>
      <rPr>
        <sz val="13"/>
        <color theme="1"/>
        <rFont val="Arial"/>
        <family val="2"/>
        <scheme val="minor"/>
      </rPr>
      <t xml:space="preserve"> và </t>
    </r>
    <r>
      <rPr>
        <sz val="13"/>
        <color theme="1"/>
        <rFont val="Arial Unicode MS"/>
      </rPr>
      <t>assertEquals</t>
    </r>
    <r>
      <rPr>
        <sz val="13"/>
        <color theme="1"/>
        <rFont val="Arial"/>
        <family val="2"/>
        <scheme val="minor"/>
      </rPr>
      <t xml:space="preserve"> Pass</t>
    </r>
  </si>
  <si>
    <r>
      <t xml:space="preserve">Kiểm tra </t>
    </r>
    <r>
      <rPr>
        <sz val="13"/>
        <color theme="1"/>
        <rFont val="Arial Unicode MS"/>
      </rPr>
      <t>SuiteTest2.createAndSetName()</t>
    </r>
  </si>
  <si>
    <r>
      <t>assertEquals("Y","Y")</t>
    </r>
    <r>
      <rPr>
        <sz val="13"/>
        <color theme="1"/>
        <rFont val="Arial"/>
        <family val="2"/>
        <scheme val="minor"/>
      </rPr>
      <t xml:space="preserve"> Pass</t>
    </r>
  </si>
  <si>
    <t>Kiểm thử factorial(), biến đếm calls, xử lý số âm. Test todo được bỏ qua bằng @Ignore.</t>
  </si>
  <si>
    <t>Kiểm thử SuiteTest1 và SuiteTest2 bằng assertEquals, phục vụ chạy Test Suite.</t>
  </si>
  <si>
    <t>LAB5_BAI4</t>
  </si>
  <si>
    <t>Kiểm thử calculatePayment() theo giới tính và tuổi (EP, BVA, Decision Table)</t>
  </si>
  <si>
    <t>Kiểm thử tính tiền theo giới tính/tuổi, có kiểm tra biên và dữ liệu không hợp lệ (age, gender).</t>
  </si>
  <si>
    <r>
      <t xml:space="preserve">Tuổi không hợp lệ: </t>
    </r>
    <r>
      <rPr>
        <sz val="13"/>
        <color theme="1"/>
        <rFont val="Arial Unicode MS"/>
      </rPr>
      <t>&lt;0</t>
    </r>
    <r>
      <rPr>
        <sz val="13"/>
        <color theme="1"/>
        <rFont val="Arial"/>
        <family val="2"/>
        <scheme val="minor"/>
      </rPr>
      <t xml:space="preserve"> hoặc </t>
    </r>
    <r>
      <rPr>
        <sz val="13"/>
        <color theme="1"/>
        <rFont val="Arial Unicode MS"/>
      </rPr>
      <t>&gt;145</t>
    </r>
    <r>
      <rPr>
        <sz val="13"/>
        <color theme="1"/>
        <rFont val="Arial"/>
        <family val="2"/>
        <scheme val="minor"/>
      </rPr>
      <t xml:space="preserve"> → </t>
    </r>
    <r>
      <rPr>
        <sz val="13"/>
        <color theme="1"/>
        <rFont val="Arial Unicode MS"/>
      </rPr>
      <t>IllegalArgumentException</t>
    </r>
  </si>
  <si>
    <t>CHILD: age = 0, 10, 17</t>
  </si>
  <si>
    <t>CHILD invalid: age = -1, 18</t>
  </si>
  <si>
    <t>MALE 18–35: age = 18, 25, 35</t>
  </si>
  <si>
    <t>MALE 36–50: age = 36, 40, 50</t>
  </si>
  <si>
    <t>MALE 51–145: age = 51, 100, 145</t>
  </si>
  <si>
    <t>MALE invalid: age = 17, 146</t>
  </si>
  <si>
    <t>FEMALE 18–35: age = 18, 27, 35</t>
  </si>
  <si>
    <t>DL08</t>
  </si>
  <si>
    <t>FEMALE 36–50: age = 36, 42, 50</t>
  </si>
  <si>
    <t>DL09</t>
  </si>
  <si>
    <t>FEMALE 51–145: age = 51, 80, 145</t>
  </si>
  <si>
    <t>DL10</t>
  </si>
  <si>
    <t>FEMALE invalid: age = 17, 146</t>
  </si>
  <si>
    <t>DL11</t>
  </si>
  <si>
    <t>Gender null; gender string = "INVALID"</t>
  </si>
  <si>
    <t>DL12</t>
  </si>
  <si>
    <t>CHILD: 0–17 → 50</t>
  </si>
  <si>
    <t>CHILD: age &lt;0 hoặc ≥18</t>
  </si>
  <si>
    <t>MALE: 18–35 → 100</t>
  </si>
  <si>
    <t>MALE: 36–50 → 120</t>
  </si>
  <si>
    <t>MALE: 51–145 → 140</t>
  </si>
  <si>
    <t>MALE: age &lt;18 hoặc &gt;145</t>
  </si>
  <si>
    <t>FEMALE: 18–35 → 80</t>
  </si>
  <si>
    <t>FEMALE: 36–50 → 110</t>
  </si>
  <si>
    <t>FEMALE: 51–145 → 140</t>
  </si>
  <si>
    <t>VÙNG 10</t>
  </si>
  <si>
    <t>FEMALE: age &lt;18 hoặc &gt;145</t>
  </si>
  <si>
    <t>VÙNG 11</t>
  </si>
  <si>
    <t>VÙNG 12</t>
  </si>
  <si>
    <t>CHILD biên dưới</t>
  </si>
  <si>
    <t>CHILD hợp lệ</t>
  </si>
  <si>
    <t>CHILD biên trên</t>
  </si>
  <si>
    <t>CHILD tuổi âm</t>
  </si>
  <si>
    <t>CHILD tuổi 18</t>
  </si>
  <si>
    <t>MALE biên dưới 18–35</t>
  </si>
  <si>
    <t>MALE hợp lệ 18–35</t>
  </si>
  <si>
    <t>MALE biên trên 18–35</t>
  </si>
  <si>
    <t>TC09</t>
  </si>
  <si>
    <t>MALE biên dưới 36–50</t>
  </si>
  <si>
    <t>TC10</t>
  </si>
  <si>
    <t>MALE hợp lệ 36–50</t>
  </si>
  <si>
    <t>TC11</t>
  </si>
  <si>
    <t>MALE biên trên 36–50</t>
  </si>
  <si>
    <t>TC12</t>
  </si>
  <si>
    <t>MALE biên dưới 51–145</t>
  </si>
  <si>
    <t>TC13</t>
  </si>
  <si>
    <t>MALE hợp lệ 51–145</t>
  </si>
  <si>
    <t>TC14</t>
  </si>
  <si>
    <t>MALE biên trên 51–145</t>
  </si>
  <si>
    <t>TC15</t>
  </si>
  <si>
    <t>MALE tuổi 17</t>
  </si>
  <si>
    <t>TC16</t>
  </si>
  <si>
    <t>MALE tuổi 146</t>
  </si>
  <si>
    <t>TC17</t>
  </si>
  <si>
    <t>FEMALE biên dưới 18–35</t>
  </si>
  <si>
    <t>TC18</t>
  </si>
  <si>
    <t>FEMALE hợp lệ 18–35</t>
  </si>
  <si>
    <t>TC19</t>
  </si>
  <si>
    <t>FEMALE biên trên 18–35</t>
  </si>
  <si>
    <t>TC20</t>
  </si>
  <si>
    <t>FEMALE biên dưới 36–50</t>
  </si>
  <si>
    <t>TC21</t>
  </si>
  <si>
    <t>FEMALE hợp lệ 36–50</t>
  </si>
  <si>
    <t>TC22</t>
  </si>
  <si>
    <t>FEMALE biên trên 36–50</t>
  </si>
  <si>
    <t>TC23</t>
  </si>
  <si>
    <t>FEMALE biên dưới 51–145</t>
  </si>
  <si>
    <t>TC24</t>
  </si>
  <si>
    <t>FEMALE hợp lệ 51–145</t>
  </si>
  <si>
    <t>TC25</t>
  </si>
  <si>
    <t>FEMALE biên trên 51–145</t>
  </si>
  <si>
    <t>TC26</t>
  </si>
  <si>
    <t>FEMALE tuổi 17</t>
  </si>
  <si>
    <t>TC27</t>
  </si>
  <si>
    <t>FEMALE tuổi 146</t>
  </si>
  <si>
    <t>TC28</t>
  </si>
  <si>
    <t>Gender null</t>
  </si>
  <si>
    <t>TC29</t>
  </si>
  <si>
    <t>Gender string sai</t>
  </si>
  <si>
    <t>TC30</t>
  </si>
  <si>
    <t>String gender MALE (hoa/thường)</t>
  </si>
  <si>
    <t>TC31</t>
  </si>
  <si>
    <t>String gender FEMALE (hoa/thường)</t>
  </si>
  <si>
    <t>TC32</t>
  </si>
  <si>
    <t>String gender CHILD (hoa/thường)</t>
  </si>
  <si>
    <r>
      <t xml:space="preserve">Ném </t>
    </r>
    <r>
      <rPr>
        <sz val="13"/>
        <color theme="1"/>
        <rFont val="Arial Unicode MS"/>
      </rPr>
      <t>IllegalArgumentException</t>
    </r>
  </si>
  <si>
    <t>Kiểm thử validate form đăng ký: CustomerId, FullName, Email, Phone, Address, Password, ConfirmPassword, DOB, Terms</t>
  </si>
  <si>
    <t>Kiểm thử dữ liệu hợp lệ/không hợp lệ và giá trị biên cho các trường form đăng ký.</t>
  </si>
  <si>
    <t>Email: bắt buộc, đúng định dạng</t>
  </si>
  <si>
    <t>Address hợp lệ; rỗng/null/space; &gt;255; biên 255</t>
  </si>
  <si>
    <t>Password hợp lệ; rỗng/null; &lt;8; biên 8</t>
  </si>
  <si>
    <t>ConfirmPassword khớp; không khớp; rỗng</t>
  </si>
  <si>
    <t>CustomerId 6–10, chữ/số</t>
  </si>
  <si>
    <t>FullName rỗng/null/space, &lt;5, &gt;50</t>
  </si>
  <si>
    <t>Phone 10–12 số, bắt đầu 0</t>
  </si>
  <si>
    <t>Address rỗng/null/space hoặc &gt;255</t>
  </si>
  <si>
    <t>Password rỗng/null hoặc &lt;8</t>
  </si>
  <si>
    <t>VÙNG 13</t>
  </si>
  <si>
    <t>VÙNG 14</t>
  </si>
  <si>
    <t>VÙNG 15</t>
  </si>
  <si>
    <t>VÙNG 16</t>
  </si>
  <si>
    <t>VÙNG 17</t>
  </si>
  <si>
    <t>Terms = true</t>
  </si>
  <si>
    <t>VÙNG 18</t>
  </si>
  <si>
    <t>Terms = false</t>
  </si>
  <si>
    <t>CustomerId hợp lệ</t>
  </si>
  <si>
    <t>FullName hợp lệ</t>
  </si>
  <si>
    <t>Email hợp lệ</t>
  </si>
  <si>
    <t>Email sai định dạng</t>
  </si>
  <si>
    <t>Phone hợp lệ</t>
  </si>
  <si>
    <t>Address hợp lệ</t>
  </si>
  <si>
    <t>Address biên 255</t>
  </si>
  <si>
    <t>Password hợp lệ</t>
  </si>
  <si>
    <t>Password biên 8</t>
  </si>
  <si>
    <t>ConfirmPassword khớp</t>
  </si>
  <si>
    <t>ConfirmPassword không khớp</t>
  </si>
  <si>
    <t>ConfirmPassword rỗng</t>
  </si>
  <si>
    <t>TC33</t>
  </si>
  <si>
    <t>DOB hợp lệ (&gt;18)</t>
  </si>
  <si>
    <t>TC34</t>
  </si>
  <si>
    <t>DOB &lt;18</t>
  </si>
  <si>
    <t>TC35</t>
  </si>
  <si>
    <t>DOB biên đúng 18</t>
  </si>
  <si>
    <t>TC36</t>
  </si>
  <si>
    <t>TC37</t>
  </si>
  <si>
    <t>TC38</t>
  </si>
  <si>
    <t>TC39</t>
  </si>
  <si>
    <t>String gender hợp lệ (không phân biệt hoa thường): MALE/FEMALE/CHILD</t>
  </si>
  <si>
    <r>
      <t>@Before</t>
    </r>
    <r>
      <rPr>
        <sz val="13"/>
        <color theme="1"/>
        <rFont val="Arial"/>
        <family val="2"/>
        <scheme val="minor"/>
      </rPr>
      <t xml:space="preserve"> tạo </t>
    </r>
    <r>
      <rPr>
        <sz val="13"/>
        <color theme="1"/>
        <rFont val="Arial Unicode MS"/>
      </rPr>
      <t>calculator</t>
    </r>
  </si>
  <si>
    <r>
      <t xml:space="preserve">CHILD: </t>
    </r>
    <r>
      <rPr>
        <sz val="13"/>
        <color theme="1"/>
        <rFont val="Arial Unicode MS"/>
      </rPr>
      <t>0–17</t>
    </r>
    <r>
      <rPr>
        <sz val="13"/>
        <color theme="1"/>
        <rFont val="Arial"/>
        <family val="2"/>
        <scheme val="minor"/>
      </rPr>
      <t xml:space="preserve"> → 50</t>
    </r>
  </si>
  <si>
    <r>
      <t xml:space="preserve">MALE: </t>
    </r>
    <r>
      <rPr>
        <sz val="13"/>
        <color theme="1"/>
        <rFont val="Arial Unicode MS"/>
      </rPr>
      <t>18–35</t>
    </r>
    <r>
      <rPr>
        <sz val="13"/>
        <color theme="1"/>
        <rFont val="Arial"/>
        <family val="2"/>
        <scheme val="minor"/>
      </rPr>
      <t xml:space="preserve"> → 100; </t>
    </r>
    <r>
      <rPr>
        <sz val="13"/>
        <color theme="1"/>
        <rFont val="Arial Unicode MS"/>
      </rPr>
      <t>36–50</t>
    </r>
    <r>
      <rPr>
        <sz val="13"/>
        <color theme="1"/>
        <rFont val="Arial"/>
        <family val="2"/>
        <scheme val="minor"/>
      </rPr>
      <t xml:space="preserve"> → 120; </t>
    </r>
    <r>
      <rPr>
        <sz val="13"/>
        <color theme="1"/>
        <rFont val="Arial Unicode MS"/>
      </rPr>
      <t>51–145</t>
    </r>
    <r>
      <rPr>
        <sz val="13"/>
        <color theme="1"/>
        <rFont val="Arial"/>
        <family val="2"/>
        <scheme val="minor"/>
      </rPr>
      <t xml:space="preserve"> → 140</t>
    </r>
  </si>
  <si>
    <r>
      <t xml:space="preserve">FEMALE: </t>
    </r>
    <r>
      <rPr>
        <sz val="13"/>
        <color theme="1"/>
        <rFont val="Arial Unicode MS"/>
      </rPr>
      <t>18–35</t>
    </r>
    <r>
      <rPr>
        <sz val="13"/>
        <color theme="1"/>
        <rFont val="Arial"/>
        <family val="2"/>
        <scheme val="minor"/>
      </rPr>
      <t xml:space="preserve"> → 80; </t>
    </r>
    <r>
      <rPr>
        <sz val="13"/>
        <color theme="1"/>
        <rFont val="Arial Unicode MS"/>
      </rPr>
      <t>36–50</t>
    </r>
    <r>
      <rPr>
        <sz val="13"/>
        <color theme="1"/>
        <rFont val="Arial"/>
        <family val="2"/>
        <scheme val="minor"/>
      </rPr>
      <t xml:space="preserve"> → 110; </t>
    </r>
    <r>
      <rPr>
        <sz val="13"/>
        <color theme="1"/>
        <rFont val="Arial Unicode MS"/>
      </rPr>
      <t>51–145</t>
    </r>
    <r>
      <rPr>
        <sz val="13"/>
        <color theme="1"/>
        <rFont val="Arial"/>
        <family val="2"/>
        <scheme val="minor"/>
      </rPr>
      <t xml:space="preserve"> → 140</t>
    </r>
  </si>
  <si>
    <r>
      <t xml:space="preserve">Gender null / string sai → </t>
    </r>
    <r>
      <rPr>
        <sz val="13"/>
        <color theme="1"/>
        <rFont val="Arial Unicode MS"/>
      </rPr>
      <t>IllegalArgumentException</t>
    </r>
  </si>
  <si>
    <r>
      <t xml:space="preserve">Bug: Senior discount (ví dụ male age 70 giảm 10%) </t>
    </r>
    <r>
      <rPr>
        <sz val="13"/>
        <color theme="1"/>
        <rFont val="Arial"/>
        <family val="2"/>
        <scheme val="minor"/>
      </rPr>
      <t>chưa implement</t>
    </r>
  </si>
  <si>
    <t>String gender: "MALE"/"male", "FEMALE"/"female", "CHILD"/"child"</t>
  </si>
  <si>
    <t>DL13</t>
  </si>
  <si>
    <t>Senior test: MALE age = 70, expected = 126</t>
  </si>
  <si>
    <t>Gender null hoặc string sai</t>
  </si>
  <si>
    <t>String gender đúng (case-insensitive)</t>
  </si>
  <si>
    <t>Không hợp lệ (Bug)</t>
  </si>
  <si>
    <t>Senior discount mong đợi 126 nhưng hệ thống có thể trả 140</t>
  </si>
  <si>
    <t>DL01 (0)</t>
  </si>
  <si>
    <t>DL01 (10)</t>
  </si>
  <si>
    <t>DL01 (17)</t>
  </si>
  <si>
    <t>DL02 (-1)</t>
  </si>
  <si>
    <t>DL02 (18)</t>
  </si>
  <si>
    <t>DL03 (18)</t>
  </si>
  <si>
    <t>DL03 (25)</t>
  </si>
  <si>
    <t>DL03 (35)</t>
  </si>
  <si>
    <t>DL04 (36)</t>
  </si>
  <si>
    <t>DL04 (40)</t>
  </si>
  <si>
    <t>DL04 (50)</t>
  </si>
  <si>
    <t>DL05 (51)</t>
  </si>
  <si>
    <t>DL05 (100)</t>
  </si>
  <si>
    <t>DL05 (145)</t>
  </si>
  <si>
    <t>DL06 (17)</t>
  </si>
  <si>
    <t>DL06 (146)</t>
  </si>
  <si>
    <t>DL07 (18)</t>
  </si>
  <si>
    <t>DL07 (27)</t>
  </si>
  <si>
    <t>DL07 (35)</t>
  </si>
  <si>
    <t>DL08 (36)</t>
  </si>
  <si>
    <t>DL08 (42)</t>
  </si>
  <si>
    <t>DL08 (50)</t>
  </si>
  <si>
    <t>DL09 (51)</t>
  </si>
  <si>
    <t>DL09 (80)</t>
  </si>
  <si>
    <t>DL09 (145)</t>
  </si>
  <si>
    <t>DL10 (17)</t>
  </si>
  <si>
    <t>DL10 (146)</t>
  </si>
  <si>
    <t>DL11 (null, 25)</t>
  </si>
  <si>
    <t>DL11 ("INVALID", 25)</t>
  </si>
  <si>
    <t>DL12 (MALE/male, 20)</t>
  </si>
  <si>
    <t>DL12 (FEMALE/female, 20)</t>
  </si>
  <si>
    <t>DL12 (CHILD/child, 10)</t>
  </si>
  <si>
    <t>BUG Senior discount MALE age 70</t>
  </si>
  <si>
    <r>
      <t>Kỳ vọng = 126</t>
    </r>
    <r>
      <rPr>
        <sz val="13"/>
        <color theme="1"/>
        <rFont val="Arial"/>
        <family val="2"/>
        <scheme val="minor"/>
      </rPr>
      <t xml:space="preserve"> (test có thể FAIL nếu hệ thống trả 140)</t>
    </r>
  </si>
  <si>
    <t>CustomerId: bắt buộc, 6–10, chỉ chữ/số</t>
  </si>
  <si>
    <t>Phone: bắt buộc, chỉ số 0–9, 10–12, bắt đầu 0</t>
  </si>
  <si>
    <t>Address: bắt buộc, ≤255</t>
  </si>
  <si>
    <t>Password: bắt buộc, ≥8</t>
  </si>
  <si>
    <t>ConfirmPassword: khớp Password</t>
  </si>
  <si>
    <t>DOB: ≥18 tuổi, không tương lai</t>
  </si>
  <si>
    <t>Terms: phải chọn true</t>
  </si>
  <si>
    <t>BUG: Email domain phải thuộc whitelist (chưa implement)</t>
  </si>
  <si>
    <t>BUG: Phone không được có ký tự đặc biệt (chưa implement đầy đủ)</t>
  </si>
  <si>
    <t>BUG: Password mạnh: có hoa + thường + số (chưa implement)</t>
  </si>
  <si>
    <t>BUG: FullName phải ≥2 từ (chưa implement)</t>
  </si>
  <si>
    <t>FullName: bắt buộc, 5–50, cho phép dấu và khoảng trắng</t>
  </si>
  <si>
    <t>BUG: CustomerId không được có ký tự đặc biệt mọi vị trí</t>
  </si>
  <si>
    <t>CustomerId hợp lệ; rỗng/null; &lt;6; &gt;10; ký tự đặc biệt</t>
  </si>
  <si>
    <t>Email hợp lệ; rỗng/null; sai format</t>
  </si>
  <si>
    <t>Phone hợp lệ; rỗng/null; không bắt đầu 0; &lt;10; &gt;12; ký tự lạ</t>
  </si>
  <si>
    <t>DOB hợp lệ (&gt;18); &lt;18; biên đúng 18; chưa đủ 18; tương lai</t>
  </si>
  <si>
    <t>Terms true/false</t>
  </si>
  <si>
    <t>DL14</t>
  </si>
  <si>
    <r>
      <t xml:space="preserve">BUG Email domain lạ: </t>
    </r>
    <r>
      <rPr>
        <sz val="13"/>
        <color theme="1"/>
        <rFont val="Arial Unicode MS"/>
      </rPr>
      <t>@suspicious-site.xyz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@tempmail.com</t>
    </r>
  </si>
  <si>
    <r>
      <t xml:space="preserve">BUG Phone có ký tự đặc biệt: </t>
    </r>
    <r>
      <rPr>
        <sz val="13"/>
        <color theme="1"/>
        <rFont val="Arial Unicode MS"/>
      </rPr>
      <t>0123-456-789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0123.456.789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(012)3456789</t>
    </r>
  </si>
  <si>
    <r>
      <t xml:space="preserve">BUG Password yếu: </t>
    </r>
    <r>
      <rPr>
        <sz val="13"/>
        <color theme="1"/>
        <rFont val="Arial Unicode MS"/>
      </rPr>
      <t>12345678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abcdefgh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ABCDEFGH</t>
    </r>
  </si>
  <si>
    <r>
      <t xml:space="preserve">BUG CustomerId edge: </t>
    </r>
    <r>
      <rPr>
        <sz val="13"/>
        <color theme="1"/>
        <rFont val="Arial Unicode MS"/>
      </rPr>
      <t>KH_001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KH.001</t>
    </r>
  </si>
  <si>
    <r>
      <t xml:space="preserve">BUG FullName 1 từ: </t>
    </r>
    <r>
      <rPr>
        <sz val="13"/>
        <color theme="1"/>
        <rFont val="Arial Unicode MS"/>
      </rPr>
      <t>SingleName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Khôi</t>
    </r>
  </si>
  <si>
    <t>FullName hợp lệ; rỗng/null/space; &lt;5; &gt;50; biên 5 và 50</t>
  </si>
  <si>
    <t>CustomerId rỗng/null, &lt;6, &gt;10, ký tự sai</t>
  </si>
  <si>
    <t>FullName 5–50, hợp lệ</t>
  </si>
  <si>
    <t>Email đúng format</t>
  </si>
  <si>
    <t>Email rỗng/null hoặc sai format</t>
  </si>
  <si>
    <t>Phone rỗng/null, sai độ dài, không bắt đầu 0, ký tự không phải số</t>
  </si>
  <si>
    <t>Address 1–255</t>
  </si>
  <si>
    <t>Password ≥8</t>
  </si>
  <si>
    <t>ConfirmPassword không khớp/rỗng</t>
  </si>
  <si>
    <t>DOB ≥18, không tương lai</t>
  </si>
  <si>
    <t>DOB &lt;18 hoặc tương lai</t>
  </si>
  <si>
    <t>VÙNG 19</t>
  </si>
  <si>
    <t>Email domain ngoài whitelist (mong đợi reject)</t>
  </si>
  <si>
    <t>VÙNG 20</t>
  </si>
  <si>
    <t>Phone có ký tự đặc biệt (mong đợi reject)</t>
  </si>
  <si>
    <t>VÙNG 21</t>
  </si>
  <si>
    <t>Password yếu (mong đợi reject theo rule mới)</t>
  </si>
  <si>
    <t>VÙNG 22</t>
  </si>
  <si>
    <t>VÙNG 23</t>
  </si>
  <si>
    <t>FullName chỉ 1 từ (mong đợi reject)</t>
  </si>
  <si>
    <r>
      <t xml:space="preserve">CustomerId có </t>
    </r>
    <r>
      <rPr>
        <sz val="13"/>
        <color theme="1"/>
        <rFont val="Arial Unicode MS"/>
      </rPr>
      <t>_</t>
    </r>
    <r>
      <rPr>
        <sz val="13"/>
        <color theme="1"/>
        <rFont val="Arial"/>
        <family val="2"/>
        <scheme val="minor"/>
      </rPr>
      <t xml:space="preserve"> hoặc </t>
    </r>
    <r>
      <rPr>
        <sz val="13"/>
        <color theme="1"/>
        <rFont val="Arial Unicode MS"/>
      </rPr>
      <t>.</t>
    </r>
    <r>
      <rPr>
        <sz val="13"/>
        <color theme="1"/>
        <rFont val="Arial"/>
        <family val="2"/>
        <scheme val="minor"/>
      </rPr>
      <t xml:space="preserve"> (mong đợi reject)</t>
    </r>
  </si>
  <si>
    <t>Chức năng</t>
  </si>
  <si>
    <t>CustomerId</t>
  </si>
  <si>
    <t>CustomerId rỗng / null</t>
  </si>
  <si>
    <t>CustomerId quá ngắn (&lt;6)</t>
  </si>
  <si>
    <t>CustomerId quá dài (&gt;10)</t>
  </si>
  <si>
    <t>CustomerId biên 6 và 10</t>
  </si>
  <si>
    <t>CustomerId chứa ký tự đặc biệt</t>
  </si>
  <si>
    <t>FullName</t>
  </si>
  <si>
    <t>FullName rỗng / null / space</t>
  </si>
  <si>
    <t>FullName quá ngắn (&lt;5)</t>
  </si>
  <si>
    <t>FullName quá dài (&gt;50)</t>
  </si>
  <si>
    <t>FullName biên 5 và 50</t>
  </si>
  <si>
    <t>Email</t>
  </si>
  <si>
    <t>Email rỗng / null</t>
  </si>
  <si>
    <t>Phone</t>
  </si>
  <si>
    <t>Phone rỗng / null</t>
  </si>
  <si>
    <t>Phone không bắt đầu bằng 0</t>
  </si>
  <si>
    <t>Phone quá ngắn (&lt;10)</t>
  </si>
  <si>
    <t>Phone quá dài (&gt;12)</t>
  </si>
  <si>
    <t>Phone biên 10 và 12</t>
  </si>
  <si>
    <t>Phone chứa ký tự không phải số</t>
  </si>
  <si>
    <t>Address</t>
  </si>
  <si>
    <t>Address rỗng / null / space</t>
  </si>
  <si>
    <t>Address &gt;255 ký tự</t>
  </si>
  <si>
    <t>Password</t>
  </si>
  <si>
    <t>Password rỗng / null</t>
  </si>
  <si>
    <t>Password quá ngắn (&lt;8)</t>
  </si>
  <si>
    <t>ConfirmPassword</t>
  </si>
  <si>
    <t>DateOfBirth</t>
  </si>
  <si>
    <t>DOB chưa đủ 18 (18y+1d)</t>
  </si>
  <si>
    <t>DOB là ngày tương lai</t>
  </si>
  <si>
    <t>Terms</t>
  </si>
  <si>
    <t>TC40</t>
  </si>
  <si>
    <t>BUG</t>
  </si>
  <si>
    <t>Email domain ngoài whitelist</t>
  </si>
  <si>
    <t>TC41</t>
  </si>
  <si>
    <t>Phone có ký tự đặc biệt</t>
  </si>
  <si>
    <t>TC42</t>
  </si>
  <si>
    <t>Password yếu (rule mới)</t>
  </si>
  <si>
    <t>TC43</t>
  </si>
  <si>
    <t>TC44</t>
  </si>
  <si>
    <t>FullName chỉ 1 từ</t>
  </si>
  <si>
    <r>
      <t xml:space="preserve">Trả </t>
    </r>
    <r>
      <rPr>
        <sz val="13"/>
        <color theme="1"/>
        <rFont val="Arial Unicode MS"/>
      </rPr>
      <t>null</t>
    </r>
  </si>
  <si>
    <r>
      <t xml:space="preserve">Trả </t>
    </r>
    <r>
      <rPr>
        <sz val="13"/>
        <color theme="1"/>
        <rFont val="Arial Unicode MS"/>
      </rPr>
      <t>not null</t>
    </r>
  </si>
  <si>
    <r>
      <t xml:space="preserve">CustomerId edge </t>
    </r>
    <r>
      <rPr>
        <sz val="13"/>
        <color theme="1"/>
        <rFont val="Arial Unicode MS"/>
      </rPr>
      <t>_</t>
    </r>
    <r>
      <rPr>
        <sz val="13"/>
        <color theme="1"/>
        <rFont val="Arial"/>
        <family val="2"/>
        <scheme val="minor"/>
      </rPr>
      <t xml:space="preserve"> </t>
    </r>
    <r>
      <rPr>
        <sz val="13"/>
        <color theme="1"/>
        <rFont val="Arial Unicode MS"/>
      </rPr>
      <t>.</t>
    </r>
  </si>
  <si>
    <r>
      <t xml:space="preserve">Trả </t>
    </r>
    <r>
      <rPr>
        <sz val="13"/>
        <color theme="1"/>
        <rFont val="Arial Unicode MS"/>
      </rPr>
      <t>not null</t>
    </r>
    <r>
      <rPr>
        <sz val="13"/>
        <color theme="1"/>
        <rFont val="Arial"/>
        <family val="2"/>
        <scheme val="minor"/>
      </rPr>
      <t xml:space="preserve"> (FAIL nếu chưa fix)</t>
    </r>
  </si>
  <si>
    <r>
      <t xml:space="preserve">Trả </t>
    </r>
    <r>
      <rPr>
        <sz val="13"/>
        <color theme="1"/>
        <rFont val="Arial Unicode MS"/>
      </rPr>
      <t>not null</t>
    </r>
    <r>
      <rPr>
        <sz val="13"/>
        <color theme="1"/>
        <rFont val="Arial"/>
        <family val="2"/>
        <scheme val="minor"/>
      </rPr>
      <t xml:space="preserve"> (FAIL nếu regex lỗi)</t>
    </r>
  </si>
  <si>
    <r>
      <t xml:space="preserve">Trả </t>
    </r>
    <r>
      <rPr>
        <sz val="13"/>
        <color theme="1"/>
        <rFont val="Arial Unicode MS"/>
      </rPr>
      <t>not null</t>
    </r>
    <r>
      <rPr>
        <sz val="13"/>
        <color theme="1"/>
        <rFont val="Arial"/>
        <family val="2"/>
        <scheme val="minor"/>
      </rPr>
      <t xml:space="preserve"> (FAIL nếu chưa check)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</si>
</sst>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sz val="13"/>
      <color theme="1"/>
      <name val="Arial"/>
      <family val="2"/>
      <charset val="163"/>
      <scheme val="minor"/>
    </font>
    <font>
      <sz val="13"/>
      <color theme="1"/>
      <name val="Arial Unicode MS"/>
    </font>
    <font>
      <sz val="13"/>
      <color theme="1"/>
      <name val="Arial Unicode MS"/>
      <charset val="163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4" fontId="2" fillId="0" borderId="2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J27"/>
  <sheetViews>
    <sheetView topLeftCell="A7" zoomScale="70" zoomScaleNormal="70" workbookViewId="0">
      <selection activeCell="F15" sqref="F15"/>
    </sheetView>
  </sheetViews>
  <sheetFormatPr defaultColWidth="20.625" defaultRowHeight="39.950000000000003" customHeight="1"/>
  <cols>
    <col min="4" max="4" width="40.625" customWidth="1"/>
    <col min="5" max="5" width="48.125" customWidth="1"/>
    <col min="8" max="8" width="37.5" customWidth="1"/>
    <col min="10" max="10" width="36.625" customWidth="1"/>
  </cols>
  <sheetData>
    <row r="4" spans="3:10" ht="39.950000000000003" customHeight="1">
      <c r="C4" s="14" t="s">
        <v>0</v>
      </c>
      <c r="D4" s="15"/>
      <c r="E4" s="1" t="s">
        <v>12</v>
      </c>
      <c r="F4" s="14" t="s">
        <v>1</v>
      </c>
      <c r="G4" s="14"/>
      <c r="H4" s="17" t="s">
        <v>97</v>
      </c>
      <c r="I4" s="17"/>
      <c r="J4" s="17"/>
    </row>
    <row r="5" spans="3:10" ht="39.950000000000003" customHeight="1">
      <c r="C5" s="14" t="s">
        <v>2</v>
      </c>
      <c r="D5" s="15"/>
      <c r="E5" s="1" t="s">
        <v>3</v>
      </c>
      <c r="F5" s="14" t="s">
        <v>4</v>
      </c>
      <c r="G5" s="14"/>
      <c r="H5" s="2" t="s">
        <v>5</v>
      </c>
      <c r="I5" s="3" t="s">
        <v>6</v>
      </c>
      <c r="J5" s="4" t="s">
        <v>7</v>
      </c>
    </row>
    <row r="7" spans="3:10" ht="80.25" customHeight="1">
      <c r="C7" s="14" t="s">
        <v>8</v>
      </c>
      <c r="D7" s="14"/>
      <c r="E7" s="5" t="s">
        <v>148</v>
      </c>
    </row>
    <row r="9" spans="3:10" ht="39.950000000000003" customHeight="1">
      <c r="C9" s="14" t="s">
        <v>9</v>
      </c>
      <c r="D9" s="15"/>
      <c r="E9" s="1" t="s">
        <v>3</v>
      </c>
      <c r="F9" s="16" t="s">
        <v>10</v>
      </c>
      <c r="G9" s="15"/>
      <c r="H9" s="6">
        <v>46049</v>
      </c>
      <c r="I9" s="3" t="s">
        <v>11</v>
      </c>
      <c r="J9" s="1" t="s">
        <v>41</v>
      </c>
    </row>
    <row r="11" spans="3:10" ht="39.950000000000003" customHeight="1">
      <c r="C11" s="8" t="s">
        <v>13</v>
      </c>
      <c r="D11" s="8" t="s">
        <v>14</v>
      </c>
      <c r="G11" s="8" t="s">
        <v>13</v>
      </c>
      <c r="H11" s="8" t="s">
        <v>55</v>
      </c>
    </row>
    <row r="12" spans="3:10" ht="87" customHeight="1">
      <c r="C12" s="9">
        <v>1</v>
      </c>
      <c r="D12" s="7" t="s">
        <v>98</v>
      </c>
      <c r="G12" s="9" t="s">
        <v>24</v>
      </c>
      <c r="H12" s="7" t="s">
        <v>105</v>
      </c>
    </row>
    <row r="13" spans="3:10" ht="87" customHeight="1">
      <c r="C13" s="9">
        <v>2</v>
      </c>
      <c r="D13" s="7" t="s">
        <v>99</v>
      </c>
      <c r="G13" s="9" t="s">
        <v>26</v>
      </c>
      <c r="H13" s="7" t="s">
        <v>106</v>
      </c>
    </row>
    <row r="14" spans="3:10" ht="74.25" customHeight="1">
      <c r="C14" s="9">
        <v>3</v>
      </c>
      <c r="D14" s="7" t="s">
        <v>100</v>
      </c>
      <c r="G14" s="9" t="s">
        <v>28</v>
      </c>
      <c r="H14" s="7" t="s">
        <v>107</v>
      </c>
    </row>
    <row r="15" spans="3:10" ht="72" customHeight="1">
      <c r="C15" s="9">
        <v>4</v>
      </c>
      <c r="D15" s="1" t="s">
        <v>101</v>
      </c>
      <c r="G15" s="9" t="s">
        <v>30</v>
      </c>
      <c r="H15" s="7" t="s">
        <v>108</v>
      </c>
    </row>
    <row r="16" spans="3:10" ht="79.5" customHeight="1">
      <c r="C16" s="9">
        <v>5</v>
      </c>
      <c r="D16" s="7" t="s">
        <v>102</v>
      </c>
      <c r="G16" s="9" t="s">
        <v>43</v>
      </c>
      <c r="H16" s="1" t="s">
        <v>109</v>
      </c>
    </row>
    <row r="17" spans="3:10" ht="69" customHeight="1">
      <c r="C17" s="9">
        <v>6</v>
      </c>
      <c r="D17" s="7" t="s">
        <v>103</v>
      </c>
      <c r="G17" s="9" t="s">
        <v>45</v>
      </c>
      <c r="H17" s="1" t="s">
        <v>110</v>
      </c>
    </row>
    <row r="18" spans="3:10" ht="65.25" customHeight="1">
      <c r="C18" s="9">
        <v>7</v>
      </c>
      <c r="D18" s="1" t="s">
        <v>104</v>
      </c>
      <c r="G18" s="9" t="s">
        <v>32</v>
      </c>
      <c r="H18" s="7" t="s">
        <v>111</v>
      </c>
    </row>
    <row r="19" spans="3:10" ht="85.5" customHeight="1"/>
    <row r="20" spans="3:10" ht="39.950000000000003" customHeight="1">
      <c r="C20" s="8" t="s">
        <v>77</v>
      </c>
      <c r="D20" s="8" t="s">
        <v>15</v>
      </c>
      <c r="E20" s="8" t="s">
        <v>78</v>
      </c>
      <c r="G20" s="8" t="s">
        <v>18</v>
      </c>
      <c r="H20" s="8" t="s">
        <v>19</v>
      </c>
      <c r="I20" s="8" t="s">
        <v>55</v>
      </c>
      <c r="J20" s="8" t="s">
        <v>20</v>
      </c>
    </row>
    <row r="21" spans="3:10" ht="39.950000000000003" customHeight="1">
      <c r="C21" s="9" t="s">
        <v>79</v>
      </c>
      <c r="D21" s="1" t="s">
        <v>16</v>
      </c>
      <c r="E21" s="7" t="s">
        <v>113</v>
      </c>
      <c r="G21" s="9" t="s">
        <v>21</v>
      </c>
      <c r="H21" s="1" t="s">
        <v>120</v>
      </c>
      <c r="I21" s="1" t="s">
        <v>22</v>
      </c>
      <c r="J21" s="1" t="s">
        <v>121</v>
      </c>
    </row>
    <row r="22" spans="3:10" ht="81.75" customHeight="1">
      <c r="C22" s="9" t="s">
        <v>80</v>
      </c>
      <c r="D22" s="1" t="s">
        <v>17</v>
      </c>
      <c r="E22" s="7" t="s">
        <v>114</v>
      </c>
      <c r="G22" s="9" t="s">
        <v>23</v>
      </c>
      <c r="H22" s="1" t="s">
        <v>33</v>
      </c>
      <c r="I22" s="1" t="s">
        <v>24</v>
      </c>
      <c r="J22" s="1" t="s">
        <v>118</v>
      </c>
    </row>
    <row r="23" spans="3:10" ht="39.75" customHeight="1">
      <c r="C23" s="9" t="s">
        <v>81</v>
      </c>
      <c r="D23" s="1" t="s">
        <v>16</v>
      </c>
      <c r="E23" s="7" t="s">
        <v>115</v>
      </c>
      <c r="G23" s="9" t="s">
        <v>25</v>
      </c>
      <c r="H23" s="1" t="s">
        <v>34</v>
      </c>
      <c r="I23" s="1" t="s">
        <v>26</v>
      </c>
      <c r="J23" s="1" t="s">
        <v>118</v>
      </c>
    </row>
    <row r="24" spans="3:10" ht="39.950000000000003" customHeight="1">
      <c r="C24" s="9" t="s">
        <v>83</v>
      </c>
      <c r="D24" s="1" t="s">
        <v>16</v>
      </c>
      <c r="E24" s="1" t="s">
        <v>116</v>
      </c>
      <c r="G24" s="9" t="s">
        <v>27</v>
      </c>
      <c r="H24" s="1" t="s">
        <v>35</v>
      </c>
      <c r="I24" s="1" t="s">
        <v>28</v>
      </c>
      <c r="J24" s="1" t="s">
        <v>119</v>
      </c>
    </row>
    <row r="25" spans="3:10" ht="61.5" customHeight="1">
      <c r="C25" s="9" t="s">
        <v>85</v>
      </c>
      <c r="D25" s="1" t="s">
        <v>112</v>
      </c>
      <c r="E25" s="7" t="s">
        <v>117</v>
      </c>
      <c r="G25" s="9" t="s">
        <v>29</v>
      </c>
      <c r="H25" s="1" t="s">
        <v>122</v>
      </c>
      <c r="I25" s="1" t="s">
        <v>30</v>
      </c>
      <c r="J25" s="1" t="s">
        <v>123</v>
      </c>
    </row>
    <row r="26" spans="3:10" ht="105.75" customHeight="1">
      <c r="G26" s="9" t="s">
        <v>31</v>
      </c>
      <c r="H26" s="1" t="s">
        <v>36</v>
      </c>
      <c r="I26" s="1" t="s">
        <v>32</v>
      </c>
      <c r="J26" s="1" t="s">
        <v>124</v>
      </c>
    </row>
    <row r="27" spans="3:10" ht="83.25" customHeight="1"/>
  </sheetData>
  <mergeCells count="8">
    <mergeCell ref="C9:D9"/>
    <mergeCell ref="F9:G9"/>
    <mergeCell ref="C4:D4"/>
    <mergeCell ref="F4:G4"/>
    <mergeCell ref="H4:J4"/>
    <mergeCell ref="C5:D5"/>
    <mergeCell ref="F5:G5"/>
    <mergeCell ref="C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4B405-9B72-4997-92A0-85B8CC70268F}">
  <dimension ref="C4:J27"/>
  <sheetViews>
    <sheetView topLeftCell="A18" zoomScale="70" zoomScaleNormal="70" workbookViewId="0">
      <selection activeCell="E7" sqref="E7"/>
    </sheetView>
  </sheetViews>
  <sheetFormatPr defaultColWidth="20.625" defaultRowHeight="14.25"/>
  <cols>
    <col min="4" max="4" width="44.75" customWidth="1"/>
    <col min="5" max="5" width="48.125" customWidth="1"/>
    <col min="8" max="8" width="46.875" customWidth="1"/>
    <col min="10" max="10" width="42.375" customWidth="1"/>
  </cols>
  <sheetData>
    <row r="4" spans="3:10" ht="39.950000000000003" customHeight="1">
      <c r="C4" s="14" t="s">
        <v>0</v>
      </c>
      <c r="D4" s="15"/>
      <c r="E4" s="1" t="s">
        <v>37</v>
      </c>
      <c r="F4" s="14" t="s">
        <v>1</v>
      </c>
      <c r="G4" s="14"/>
      <c r="H4" s="17" t="s">
        <v>125</v>
      </c>
      <c r="I4" s="17"/>
      <c r="J4" s="17"/>
    </row>
    <row r="5" spans="3:10" ht="39.950000000000003" customHeight="1">
      <c r="C5" s="14" t="s">
        <v>2</v>
      </c>
      <c r="D5" s="15"/>
      <c r="E5" s="1" t="s">
        <v>3</v>
      </c>
      <c r="F5" s="14" t="s">
        <v>4</v>
      </c>
      <c r="G5" s="14"/>
      <c r="H5" s="2" t="s">
        <v>5</v>
      </c>
      <c r="I5" s="3" t="s">
        <v>6</v>
      </c>
      <c r="J5" s="4" t="s">
        <v>7</v>
      </c>
    </row>
    <row r="7" spans="3:10" ht="80.25" customHeight="1">
      <c r="C7" s="14" t="s">
        <v>8</v>
      </c>
      <c r="D7" s="14"/>
      <c r="E7" s="5" t="s">
        <v>149</v>
      </c>
    </row>
    <row r="9" spans="3:10" ht="39.950000000000003" customHeight="1">
      <c r="C9" s="14" t="s">
        <v>9</v>
      </c>
      <c r="D9" s="15"/>
      <c r="E9" s="1" t="s">
        <v>3</v>
      </c>
      <c r="F9" s="16" t="s">
        <v>10</v>
      </c>
      <c r="G9" s="15"/>
      <c r="H9" s="6">
        <v>46049</v>
      </c>
      <c r="I9" s="3" t="s">
        <v>11</v>
      </c>
      <c r="J9" s="1" t="s">
        <v>41</v>
      </c>
    </row>
    <row r="10" spans="3:10" ht="32.25" customHeight="1"/>
    <row r="11" spans="3:10" ht="39.950000000000003" customHeight="1">
      <c r="C11" s="8" t="s">
        <v>13</v>
      </c>
      <c r="D11" s="8" t="s">
        <v>14</v>
      </c>
      <c r="G11" s="8" t="s">
        <v>13</v>
      </c>
      <c r="H11" s="8" t="s">
        <v>55</v>
      </c>
    </row>
    <row r="12" spans="3:10" ht="87" customHeight="1">
      <c r="C12" s="9">
        <v>1</v>
      </c>
      <c r="D12" s="7" t="s">
        <v>127</v>
      </c>
      <c r="G12" s="9" t="s">
        <v>24</v>
      </c>
      <c r="H12" s="7" t="s">
        <v>131</v>
      </c>
    </row>
    <row r="13" spans="3:10" ht="87" customHeight="1">
      <c r="C13" s="9">
        <v>2</v>
      </c>
      <c r="D13" s="7" t="s">
        <v>128</v>
      </c>
      <c r="G13" s="9" t="s">
        <v>26</v>
      </c>
      <c r="H13" s="1" t="s">
        <v>135</v>
      </c>
    </row>
    <row r="14" spans="3:10" ht="74.25" customHeight="1">
      <c r="C14" s="9">
        <v>3</v>
      </c>
      <c r="D14" s="7" t="s">
        <v>129</v>
      </c>
      <c r="G14" s="9" t="s">
        <v>28</v>
      </c>
      <c r="H14" s="7" t="s">
        <v>132</v>
      </c>
    </row>
    <row r="15" spans="3:10" ht="72" customHeight="1">
      <c r="C15" s="9">
        <v>4</v>
      </c>
      <c r="D15" s="7" t="s">
        <v>130</v>
      </c>
      <c r="G15" s="9" t="s">
        <v>30</v>
      </c>
      <c r="H15" s="1" t="s">
        <v>136</v>
      </c>
    </row>
    <row r="16" spans="3:10" ht="79.5" customHeight="1">
      <c r="C16" s="9">
        <v>5</v>
      </c>
      <c r="D16" s="1" t="s">
        <v>126</v>
      </c>
      <c r="G16" s="9" t="s">
        <v>43</v>
      </c>
      <c r="H16" s="7" t="s">
        <v>133</v>
      </c>
    </row>
    <row r="17" spans="3:10" ht="69" customHeight="1">
      <c r="G17" s="9" t="s">
        <v>45</v>
      </c>
      <c r="H17" s="7" t="s">
        <v>134</v>
      </c>
    </row>
    <row r="18" spans="3:10" ht="65.25" customHeight="1"/>
    <row r="19" spans="3:10" ht="85.5" customHeight="1">
      <c r="C19" s="8" t="s">
        <v>77</v>
      </c>
      <c r="D19" s="8" t="s">
        <v>15</v>
      </c>
      <c r="E19" s="8" t="s">
        <v>78</v>
      </c>
      <c r="G19" s="8" t="s">
        <v>18</v>
      </c>
      <c r="H19" s="8" t="s">
        <v>19</v>
      </c>
      <c r="I19" s="8" t="s">
        <v>55</v>
      </c>
      <c r="J19" s="8" t="s">
        <v>20</v>
      </c>
    </row>
    <row r="20" spans="3:10" ht="54.75" customHeight="1">
      <c r="C20" s="9" t="s">
        <v>79</v>
      </c>
      <c r="D20" s="1" t="s">
        <v>16</v>
      </c>
      <c r="E20" s="7" t="s">
        <v>137</v>
      </c>
      <c r="G20" s="9" t="s">
        <v>21</v>
      </c>
      <c r="H20" s="1" t="s">
        <v>142</v>
      </c>
      <c r="I20" s="1" t="s">
        <v>38</v>
      </c>
      <c r="J20" s="1" t="s">
        <v>143</v>
      </c>
    </row>
    <row r="21" spans="3:10" ht="54.75" customHeight="1">
      <c r="C21" s="9" t="s">
        <v>80</v>
      </c>
      <c r="D21" s="1" t="s">
        <v>16</v>
      </c>
      <c r="E21" s="7" t="s">
        <v>138</v>
      </c>
      <c r="G21" s="9" t="s">
        <v>23</v>
      </c>
      <c r="H21" s="1" t="s">
        <v>144</v>
      </c>
      <c r="I21" s="1" t="s">
        <v>39</v>
      </c>
      <c r="J21" s="7" t="s">
        <v>145</v>
      </c>
    </row>
    <row r="22" spans="3:10" ht="81.75" customHeight="1">
      <c r="C22" s="9" t="s">
        <v>81</v>
      </c>
      <c r="D22" s="1" t="s">
        <v>17</v>
      </c>
      <c r="E22" s="7" t="s">
        <v>139</v>
      </c>
      <c r="G22" s="9" t="s">
        <v>25</v>
      </c>
      <c r="H22" s="1" t="s">
        <v>146</v>
      </c>
      <c r="I22" s="1" t="s">
        <v>22</v>
      </c>
      <c r="J22" s="7" t="s">
        <v>147</v>
      </c>
    </row>
    <row r="23" spans="3:10" ht="61.5" customHeight="1">
      <c r="C23" s="9" t="s">
        <v>83</v>
      </c>
      <c r="D23" s="1" t="s">
        <v>16</v>
      </c>
      <c r="E23" s="7" t="s">
        <v>140</v>
      </c>
    </row>
    <row r="24" spans="3:10" ht="79.5" customHeight="1">
      <c r="C24" s="9" t="s">
        <v>85</v>
      </c>
      <c r="D24" s="1" t="s">
        <v>17</v>
      </c>
      <c r="E24" s="7" t="s">
        <v>141</v>
      </c>
    </row>
    <row r="25" spans="3:10" ht="61.5" customHeight="1"/>
    <row r="26" spans="3:10" ht="105.75" customHeight="1"/>
    <row r="27" spans="3:10" ht="83.25" customHeight="1"/>
  </sheetData>
  <mergeCells count="8">
    <mergeCell ref="C9:D9"/>
    <mergeCell ref="F9:G9"/>
    <mergeCell ref="C4:D4"/>
    <mergeCell ref="F4:G4"/>
    <mergeCell ref="H4:J4"/>
    <mergeCell ref="C5:D5"/>
    <mergeCell ref="F5:G5"/>
    <mergeCell ref="C7:D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5E8F-B404-4720-B4BE-797CDB5437BA}">
  <dimension ref="C4:J33"/>
  <sheetViews>
    <sheetView zoomScale="70" zoomScaleNormal="70" workbookViewId="0">
      <selection activeCell="E12" sqref="E12"/>
    </sheetView>
  </sheetViews>
  <sheetFormatPr defaultColWidth="20.625" defaultRowHeight="14.25"/>
  <cols>
    <col min="4" max="4" width="48" customWidth="1"/>
    <col min="5" max="5" width="48.125" customWidth="1"/>
    <col min="8" max="8" width="46.875" customWidth="1"/>
    <col min="9" max="9" width="23.125" customWidth="1"/>
    <col min="10" max="10" width="42.375" customWidth="1"/>
  </cols>
  <sheetData>
    <row r="4" spans="3:10" ht="39.950000000000003" customHeight="1">
      <c r="C4" s="14" t="s">
        <v>0</v>
      </c>
      <c r="D4" s="15"/>
      <c r="E4" s="1" t="s">
        <v>40</v>
      </c>
      <c r="F4" s="14" t="s">
        <v>1</v>
      </c>
      <c r="G4" s="14"/>
      <c r="H4" s="17" t="s">
        <v>47</v>
      </c>
      <c r="I4" s="17"/>
      <c r="J4" s="17"/>
    </row>
    <row r="5" spans="3:10" ht="39.950000000000003" customHeight="1">
      <c r="C5" s="14" t="s">
        <v>2</v>
      </c>
      <c r="D5" s="15"/>
      <c r="E5" s="1" t="s">
        <v>3</v>
      </c>
      <c r="F5" s="14" t="s">
        <v>4</v>
      </c>
      <c r="G5" s="14"/>
      <c r="H5" s="2" t="s">
        <v>5</v>
      </c>
      <c r="I5" s="3" t="s">
        <v>6</v>
      </c>
      <c r="J5" s="4" t="s">
        <v>7</v>
      </c>
    </row>
    <row r="7" spans="3:10" ht="80.25" customHeight="1">
      <c r="C7" s="14" t="s">
        <v>8</v>
      </c>
      <c r="D7" s="14"/>
      <c r="E7" s="5" t="s">
        <v>42</v>
      </c>
    </row>
    <row r="9" spans="3:10" ht="39.950000000000003" customHeight="1">
      <c r="C9" s="14" t="s">
        <v>9</v>
      </c>
      <c r="D9" s="15"/>
      <c r="E9" s="1" t="s">
        <v>3</v>
      </c>
      <c r="F9" s="16" t="s">
        <v>10</v>
      </c>
      <c r="G9" s="15"/>
      <c r="H9" s="6">
        <v>46049</v>
      </c>
      <c r="I9" s="3" t="s">
        <v>11</v>
      </c>
      <c r="J9" s="1" t="s">
        <v>41</v>
      </c>
    </row>
    <row r="11" spans="3:10" ht="39.950000000000003" customHeight="1">
      <c r="C11" s="13" t="s">
        <v>13</v>
      </c>
      <c r="D11" s="13" t="s">
        <v>14</v>
      </c>
      <c r="G11" s="8" t="s">
        <v>13</v>
      </c>
      <c r="H11" s="8" t="s">
        <v>55</v>
      </c>
    </row>
    <row r="12" spans="3:10" ht="87" customHeight="1">
      <c r="C12" s="9">
        <v>1</v>
      </c>
      <c r="D12" s="7" t="s">
        <v>50</v>
      </c>
      <c r="G12" s="9" t="s">
        <v>24</v>
      </c>
      <c r="H12" s="1" t="s">
        <v>56</v>
      </c>
    </row>
    <row r="13" spans="3:10" ht="87" customHeight="1">
      <c r="C13" s="9">
        <v>2</v>
      </c>
      <c r="D13" s="7" t="s">
        <v>51</v>
      </c>
      <c r="G13" s="9" t="s">
        <v>26</v>
      </c>
      <c r="H13" s="1" t="s">
        <v>58</v>
      </c>
    </row>
    <row r="14" spans="3:10" ht="74.25" customHeight="1">
      <c r="C14" s="9">
        <v>3</v>
      </c>
      <c r="D14" s="7" t="s">
        <v>52</v>
      </c>
      <c r="G14" s="9" t="s">
        <v>28</v>
      </c>
      <c r="H14" s="1" t="s">
        <v>57</v>
      </c>
    </row>
    <row r="15" spans="3:10" ht="72" customHeight="1">
      <c r="C15" s="9">
        <v>4</v>
      </c>
      <c r="D15" s="7" t="s">
        <v>53</v>
      </c>
      <c r="G15" s="9" t="s">
        <v>30</v>
      </c>
      <c r="H15" s="1" t="s">
        <v>59</v>
      </c>
    </row>
    <row r="16" spans="3:10" ht="79.5" customHeight="1">
      <c r="C16" s="9">
        <v>5</v>
      </c>
      <c r="D16" s="1" t="s">
        <v>54</v>
      </c>
    </row>
    <row r="17" spans="3:10" ht="69" customHeight="1">
      <c r="C17" s="9">
        <v>6</v>
      </c>
      <c r="D17" s="1" t="s">
        <v>48</v>
      </c>
    </row>
    <row r="18" spans="3:10" ht="65.25" customHeight="1">
      <c r="C18" s="9">
        <v>7</v>
      </c>
      <c r="D18" s="1" t="s">
        <v>49</v>
      </c>
    </row>
    <row r="19" spans="3:10" ht="58.5" customHeight="1"/>
    <row r="20" spans="3:10" ht="48.75" customHeight="1">
      <c r="C20" s="8" t="s">
        <v>77</v>
      </c>
      <c r="D20" s="8" t="s">
        <v>15</v>
      </c>
      <c r="E20" s="8" t="s">
        <v>78</v>
      </c>
      <c r="G20" s="8" t="s">
        <v>18</v>
      </c>
      <c r="H20" s="8" t="s">
        <v>19</v>
      </c>
      <c r="I20" s="8" t="s">
        <v>55</v>
      </c>
      <c r="J20" s="8" t="s">
        <v>20</v>
      </c>
    </row>
    <row r="21" spans="3:10" ht="39.950000000000003" customHeight="1">
      <c r="C21" s="9" t="s">
        <v>79</v>
      </c>
      <c r="D21" s="1" t="s">
        <v>16</v>
      </c>
      <c r="E21" s="7" t="s">
        <v>93</v>
      </c>
      <c r="G21" s="9" t="s">
        <v>21</v>
      </c>
      <c r="H21" s="1" t="s">
        <v>70</v>
      </c>
      <c r="I21" s="1" t="s">
        <v>76</v>
      </c>
      <c r="J21" s="1" t="s">
        <v>60</v>
      </c>
    </row>
    <row r="22" spans="3:10" ht="81.75" customHeight="1">
      <c r="C22" s="9" t="s">
        <v>80</v>
      </c>
      <c r="D22" s="1" t="s">
        <v>16</v>
      </c>
      <c r="E22" s="7" t="s">
        <v>94</v>
      </c>
      <c r="G22" s="9" t="s">
        <v>23</v>
      </c>
      <c r="H22" s="1" t="s">
        <v>71</v>
      </c>
      <c r="I22" s="1" t="s">
        <v>24</v>
      </c>
      <c r="J22" s="1" t="s">
        <v>61</v>
      </c>
    </row>
    <row r="23" spans="3:10" ht="61.5" customHeight="1">
      <c r="C23" s="9" t="s">
        <v>81</v>
      </c>
      <c r="D23" s="1" t="s">
        <v>16</v>
      </c>
      <c r="E23" s="1" t="s">
        <v>82</v>
      </c>
      <c r="G23" s="9" t="s">
        <v>25</v>
      </c>
      <c r="H23" s="1" t="s">
        <v>62</v>
      </c>
      <c r="I23" s="1" t="s">
        <v>26</v>
      </c>
      <c r="J23" s="1" t="s">
        <v>63</v>
      </c>
    </row>
    <row r="24" spans="3:10" ht="79.5" customHeight="1">
      <c r="C24" s="9" t="s">
        <v>83</v>
      </c>
      <c r="D24" s="1" t="s">
        <v>17</v>
      </c>
      <c r="E24" s="1" t="s">
        <v>84</v>
      </c>
      <c r="G24" s="9" t="s">
        <v>27</v>
      </c>
      <c r="H24" s="1" t="s">
        <v>72</v>
      </c>
      <c r="I24" s="1" t="s">
        <v>76</v>
      </c>
      <c r="J24" s="1" t="s">
        <v>64</v>
      </c>
    </row>
    <row r="25" spans="3:10" ht="61.5" customHeight="1">
      <c r="C25" s="9" t="s">
        <v>85</v>
      </c>
      <c r="D25" s="1" t="s">
        <v>16</v>
      </c>
      <c r="E25" s="1" t="s">
        <v>95</v>
      </c>
      <c r="G25" s="9" t="s">
        <v>29</v>
      </c>
      <c r="H25" s="1" t="s">
        <v>73</v>
      </c>
      <c r="I25" s="1" t="s">
        <v>76</v>
      </c>
      <c r="J25" s="1" t="s">
        <v>65</v>
      </c>
    </row>
    <row r="26" spans="3:10" ht="105.75" customHeight="1">
      <c r="C26" s="9" t="s">
        <v>86</v>
      </c>
      <c r="D26" s="1" t="s">
        <v>16</v>
      </c>
      <c r="E26" s="1" t="s">
        <v>87</v>
      </c>
      <c r="G26" s="9" t="s">
        <v>31</v>
      </c>
      <c r="H26" s="1" t="s">
        <v>66</v>
      </c>
      <c r="I26" s="1" t="s">
        <v>28</v>
      </c>
      <c r="J26" s="1" t="s">
        <v>67</v>
      </c>
    </row>
    <row r="27" spans="3:10" ht="83.25" customHeight="1">
      <c r="C27" s="9" t="s">
        <v>88</v>
      </c>
      <c r="D27" s="1" t="s">
        <v>17</v>
      </c>
      <c r="E27" s="1" t="s">
        <v>89</v>
      </c>
      <c r="G27" s="9" t="s">
        <v>44</v>
      </c>
      <c r="H27" s="1" t="s">
        <v>68</v>
      </c>
      <c r="I27" s="1" t="s">
        <v>30</v>
      </c>
      <c r="J27" s="1" t="s">
        <v>74</v>
      </c>
    </row>
    <row r="28" spans="3:10" ht="42.75" customHeight="1">
      <c r="C28" s="9" t="s">
        <v>90</v>
      </c>
      <c r="D28" s="1" t="s">
        <v>16</v>
      </c>
      <c r="E28" s="1" t="s">
        <v>96</v>
      </c>
      <c r="G28" s="9" t="s">
        <v>46</v>
      </c>
      <c r="H28" s="1" t="s">
        <v>75</v>
      </c>
      <c r="I28" s="1" t="s">
        <v>76</v>
      </c>
      <c r="J28" s="1" t="s">
        <v>69</v>
      </c>
    </row>
    <row r="29" spans="3:10" ht="47.25" customHeight="1">
      <c r="C29" s="9" t="s">
        <v>91</v>
      </c>
      <c r="D29" s="1" t="s">
        <v>17</v>
      </c>
      <c r="E29" s="1" t="s">
        <v>92</v>
      </c>
    </row>
    <row r="30" spans="3:10" ht="71.25" customHeight="1"/>
    <row r="31" spans="3:10" ht="50.25" customHeight="1"/>
    <row r="32" spans="3:10" ht="50.25" customHeight="1"/>
    <row r="33" ht="38.25" customHeight="1"/>
  </sheetData>
  <mergeCells count="8">
    <mergeCell ref="C9:D9"/>
    <mergeCell ref="F9:G9"/>
    <mergeCell ref="C4:D4"/>
    <mergeCell ref="F4:G4"/>
    <mergeCell ref="H4:J4"/>
    <mergeCell ref="C5:D5"/>
    <mergeCell ref="F5:G5"/>
    <mergeCell ref="C7:D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3A7D-F0CA-4D21-948F-D9CCD9EB0E9F}">
  <dimension ref="C4:J59"/>
  <sheetViews>
    <sheetView topLeftCell="A16" zoomScale="70" zoomScaleNormal="70" workbookViewId="0">
      <selection activeCell="F36" sqref="F36"/>
    </sheetView>
  </sheetViews>
  <sheetFormatPr defaultColWidth="20.625" defaultRowHeight="50.1" customHeight="1"/>
  <cols>
    <col min="4" max="4" width="48" customWidth="1"/>
    <col min="5" max="5" width="52.75" customWidth="1"/>
    <col min="8" max="8" width="46.875" customWidth="1"/>
    <col min="9" max="9" width="28.375" customWidth="1"/>
    <col min="10" max="10" width="42.375" customWidth="1"/>
  </cols>
  <sheetData>
    <row r="4" spans="3:10" ht="50.1" customHeight="1">
      <c r="C4" s="14" t="s">
        <v>0</v>
      </c>
      <c r="D4" s="15"/>
      <c r="E4" s="1" t="s">
        <v>150</v>
      </c>
      <c r="F4" s="14" t="s">
        <v>1</v>
      </c>
      <c r="G4" s="14"/>
      <c r="H4" s="17" t="s">
        <v>151</v>
      </c>
      <c r="I4" s="17"/>
      <c r="J4" s="17"/>
    </row>
    <row r="5" spans="3:10" ht="50.1" customHeight="1">
      <c r="C5" s="14" t="s">
        <v>2</v>
      </c>
      <c r="D5" s="15"/>
      <c r="E5" s="1" t="s">
        <v>3</v>
      </c>
      <c r="F5" s="14" t="s">
        <v>4</v>
      </c>
      <c r="G5" s="14"/>
      <c r="H5" s="2" t="s">
        <v>5</v>
      </c>
      <c r="I5" s="3" t="s">
        <v>6</v>
      </c>
      <c r="J5" s="4" t="s">
        <v>7</v>
      </c>
    </row>
    <row r="7" spans="3:10" ht="50.1" customHeight="1">
      <c r="C7" s="14" t="s">
        <v>8</v>
      </c>
      <c r="D7" s="14"/>
      <c r="E7" s="5" t="s">
        <v>152</v>
      </c>
    </row>
    <row r="9" spans="3:10" ht="50.1" customHeight="1">
      <c r="C9" s="14" t="s">
        <v>9</v>
      </c>
      <c r="D9" s="15"/>
      <c r="E9" s="1" t="s">
        <v>3</v>
      </c>
      <c r="F9" s="16" t="s">
        <v>10</v>
      </c>
      <c r="G9" s="15"/>
      <c r="H9" s="6">
        <v>46049</v>
      </c>
      <c r="I9" s="3" t="s">
        <v>11</v>
      </c>
      <c r="J9" s="1" t="s">
        <v>41</v>
      </c>
    </row>
    <row r="11" spans="3:10" ht="50.1" customHeight="1">
      <c r="C11" s="8" t="s">
        <v>13</v>
      </c>
      <c r="D11" s="8" t="s">
        <v>14</v>
      </c>
      <c r="G11" s="13" t="s">
        <v>13</v>
      </c>
      <c r="H11" s="13" t="s">
        <v>55</v>
      </c>
    </row>
    <row r="12" spans="3:10" ht="50.1" customHeight="1">
      <c r="C12" s="12">
        <v>1</v>
      </c>
      <c r="D12" s="11" t="s">
        <v>282</v>
      </c>
      <c r="G12" s="9" t="s">
        <v>24</v>
      </c>
      <c r="H12" s="1" t="s">
        <v>154</v>
      </c>
    </row>
    <row r="13" spans="3:10" ht="50.1" customHeight="1">
      <c r="C13" s="12">
        <v>2</v>
      </c>
      <c r="D13" s="10" t="s">
        <v>283</v>
      </c>
      <c r="G13" s="9" t="s">
        <v>26</v>
      </c>
      <c r="H13" s="1" t="s">
        <v>155</v>
      </c>
    </row>
    <row r="14" spans="3:10" ht="50.1" customHeight="1">
      <c r="C14" s="12">
        <v>3</v>
      </c>
      <c r="D14" s="10" t="s">
        <v>284</v>
      </c>
      <c r="G14" s="9" t="s">
        <v>28</v>
      </c>
      <c r="H14" s="1" t="s">
        <v>156</v>
      </c>
    </row>
    <row r="15" spans="3:10" ht="50.1" customHeight="1">
      <c r="C15" s="12">
        <v>4</v>
      </c>
      <c r="D15" s="10" t="s">
        <v>285</v>
      </c>
      <c r="G15" s="9" t="s">
        <v>30</v>
      </c>
      <c r="H15" s="1" t="s">
        <v>157</v>
      </c>
    </row>
    <row r="16" spans="3:10" ht="50.1" customHeight="1">
      <c r="C16" s="12">
        <v>5</v>
      </c>
      <c r="D16" s="10" t="s">
        <v>153</v>
      </c>
      <c r="G16" s="9" t="s">
        <v>43</v>
      </c>
      <c r="H16" s="1" t="s">
        <v>158</v>
      </c>
    </row>
    <row r="17" spans="3:10" ht="50.1" customHeight="1">
      <c r="C17" s="12">
        <v>6</v>
      </c>
      <c r="D17" s="10" t="s">
        <v>286</v>
      </c>
      <c r="G17" s="9" t="s">
        <v>45</v>
      </c>
      <c r="H17" s="1" t="s">
        <v>159</v>
      </c>
    </row>
    <row r="18" spans="3:10" ht="50.1" customHeight="1">
      <c r="C18" s="12">
        <v>7</v>
      </c>
      <c r="D18" s="10" t="s">
        <v>281</v>
      </c>
      <c r="G18" s="9" t="s">
        <v>32</v>
      </c>
      <c r="H18" s="1" t="s">
        <v>160</v>
      </c>
    </row>
    <row r="19" spans="3:10" ht="50.1" customHeight="1">
      <c r="C19" s="12">
        <v>8</v>
      </c>
      <c r="D19" s="10" t="s">
        <v>287</v>
      </c>
      <c r="G19" s="9" t="s">
        <v>161</v>
      </c>
      <c r="H19" s="1" t="s">
        <v>162</v>
      </c>
    </row>
    <row r="20" spans="3:10" ht="50.1" customHeight="1">
      <c r="G20" s="9" t="s">
        <v>163</v>
      </c>
      <c r="H20" s="1" t="s">
        <v>164</v>
      </c>
    </row>
    <row r="21" spans="3:10" ht="50.1" customHeight="1">
      <c r="G21" s="9" t="s">
        <v>165</v>
      </c>
      <c r="H21" s="1" t="s">
        <v>166</v>
      </c>
    </row>
    <row r="22" spans="3:10" ht="50.1" customHeight="1">
      <c r="G22" s="9" t="s">
        <v>167</v>
      </c>
      <c r="H22" s="1" t="s">
        <v>168</v>
      </c>
    </row>
    <row r="23" spans="3:10" ht="50.1" customHeight="1">
      <c r="G23" s="9" t="s">
        <v>169</v>
      </c>
      <c r="H23" s="1" t="s">
        <v>288</v>
      </c>
    </row>
    <row r="24" spans="3:10" ht="50.1" customHeight="1">
      <c r="G24" s="9" t="s">
        <v>289</v>
      </c>
      <c r="H24" s="1" t="s">
        <v>290</v>
      </c>
    </row>
    <row r="26" spans="3:10" ht="50.1" customHeight="1">
      <c r="C26" s="8" t="s">
        <v>77</v>
      </c>
      <c r="D26" s="8" t="s">
        <v>15</v>
      </c>
      <c r="E26" s="8" t="s">
        <v>78</v>
      </c>
      <c r="G26" s="8" t="s">
        <v>18</v>
      </c>
      <c r="H26" s="8" t="s">
        <v>19</v>
      </c>
      <c r="I26" s="8" t="s">
        <v>55</v>
      </c>
      <c r="J26" s="8" t="s">
        <v>20</v>
      </c>
    </row>
    <row r="27" spans="3:10" ht="50.1" customHeight="1">
      <c r="C27" s="9" t="s">
        <v>79</v>
      </c>
      <c r="D27" s="1" t="s">
        <v>16</v>
      </c>
      <c r="E27" s="1" t="s">
        <v>170</v>
      </c>
      <c r="G27" s="12" t="s">
        <v>21</v>
      </c>
      <c r="H27" s="10" t="s">
        <v>183</v>
      </c>
      <c r="I27" s="10" t="s">
        <v>295</v>
      </c>
      <c r="J27" s="10">
        <f xml:space="preserve"> 50</f>
        <v>50</v>
      </c>
    </row>
    <row r="28" spans="3:10" ht="50.1" customHeight="1">
      <c r="C28" s="9" t="s">
        <v>80</v>
      </c>
      <c r="D28" s="1" t="s">
        <v>17</v>
      </c>
      <c r="E28" s="1" t="s">
        <v>171</v>
      </c>
      <c r="G28" s="12" t="s">
        <v>23</v>
      </c>
      <c r="H28" s="10" t="s">
        <v>184</v>
      </c>
      <c r="I28" s="10" t="s">
        <v>296</v>
      </c>
      <c r="J28" s="10">
        <f xml:space="preserve"> 50</f>
        <v>50</v>
      </c>
    </row>
    <row r="29" spans="3:10" ht="50.1" customHeight="1">
      <c r="C29" s="9" t="s">
        <v>81</v>
      </c>
      <c r="D29" s="1" t="s">
        <v>16</v>
      </c>
      <c r="E29" s="1" t="s">
        <v>172</v>
      </c>
      <c r="G29" s="12" t="s">
        <v>25</v>
      </c>
      <c r="H29" s="10" t="s">
        <v>185</v>
      </c>
      <c r="I29" s="10" t="s">
        <v>297</v>
      </c>
      <c r="J29" s="10">
        <f xml:space="preserve"> 50</f>
        <v>50</v>
      </c>
    </row>
    <row r="30" spans="3:10" ht="50.1" customHeight="1">
      <c r="C30" s="9" t="s">
        <v>83</v>
      </c>
      <c r="D30" s="1" t="s">
        <v>16</v>
      </c>
      <c r="E30" s="1" t="s">
        <v>173</v>
      </c>
      <c r="G30" s="12" t="s">
        <v>27</v>
      </c>
      <c r="H30" s="10" t="s">
        <v>186</v>
      </c>
      <c r="I30" s="10" t="s">
        <v>298</v>
      </c>
      <c r="J30" s="10" t="s">
        <v>239</v>
      </c>
    </row>
    <row r="31" spans="3:10" ht="50.1" customHeight="1">
      <c r="C31" s="9" t="s">
        <v>85</v>
      </c>
      <c r="D31" s="1" t="s">
        <v>16</v>
      </c>
      <c r="E31" s="1" t="s">
        <v>174</v>
      </c>
      <c r="G31" s="12" t="s">
        <v>29</v>
      </c>
      <c r="H31" s="10" t="s">
        <v>187</v>
      </c>
      <c r="I31" s="10" t="s">
        <v>299</v>
      </c>
      <c r="J31" s="10" t="s">
        <v>239</v>
      </c>
    </row>
    <row r="32" spans="3:10" ht="50.1" customHeight="1">
      <c r="C32" s="9" t="s">
        <v>86</v>
      </c>
      <c r="D32" s="1" t="s">
        <v>17</v>
      </c>
      <c r="E32" s="1" t="s">
        <v>175</v>
      </c>
      <c r="G32" s="12" t="s">
        <v>31</v>
      </c>
      <c r="H32" s="10" t="s">
        <v>188</v>
      </c>
      <c r="I32" s="10" t="s">
        <v>300</v>
      </c>
      <c r="J32" s="10">
        <f xml:space="preserve"> 100</f>
        <v>100</v>
      </c>
    </row>
    <row r="33" spans="3:10" ht="50.1" customHeight="1">
      <c r="C33" s="9" t="s">
        <v>88</v>
      </c>
      <c r="D33" s="1" t="s">
        <v>16</v>
      </c>
      <c r="E33" s="1" t="s">
        <v>176</v>
      </c>
      <c r="G33" s="12" t="s">
        <v>44</v>
      </c>
      <c r="H33" s="10" t="s">
        <v>189</v>
      </c>
      <c r="I33" s="10" t="s">
        <v>301</v>
      </c>
      <c r="J33" s="10">
        <f xml:space="preserve"> 100</f>
        <v>100</v>
      </c>
    </row>
    <row r="34" spans="3:10" ht="50.1" customHeight="1">
      <c r="C34" s="9" t="s">
        <v>90</v>
      </c>
      <c r="D34" s="1" t="s">
        <v>16</v>
      </c>
      <c r="E34" s="1" t="s">
        <v>177</v>
      </c>
      <c r="G34" s="12" t="s">
        <v>46</v>
      </c>
      <c r="H34" s="10" t="s">
        <v>190</v>
      </c>
      <c r="I34" s="10" t="s">
        <v>302</v>
      </c>
      <c r="J34" s="10">
        <f xml:space="preserve"> 100</f>
        <v>100</v>
      </c>
    </row>
    <row r="35" spans="3:10" ht="50.1" customHeight="1">
      <c r="C35" s="9" t="s">
        <v>91</v>
      </c>
      <c r="D35" s="1" t="s">
        <v>16</v>
      </c>
      <c r="E35" s="1" t="s">
        <v>178</v>
      </c>
      <c r="G35" s="12" t="s">
        <v>191</v>
      </c>
      <c r="H35" s="10" t="s">
        <v>192</v>
      </c>
      <c r="I35" s="10" t="s">
        <v>303</v>
      </c>
      <c r="J35" s="10">
        <f xml:space="preserve"> 120</f>
        <v>120</v>
      </c>
    </row>
    <row r="36" spans="3:10" ht="50.1" customHeight="1">
      <c r="C36" s="9" t="s">
        <v>179</v>
      </c>
      <c r="D36" s="1" t="s">
        <v>17</v>
      </c>
      <c r="E36" s="1" t="s">
        <v>180</v>
      </c>
      <c r="G36" s="12" t="s">
        <v>193</v>
      </c>
      <c r="H36" s="10" t="s">
        <v>194</v>
      </c>
      <c r="I36" s="10" t="s">
        <v>304</v>
      </c>
      <c r="J36" s="10">
        <f xml:space="preserve"> 120</f>
        <v>120</v>
      </c>
    </row>
    <row r="37" spans="3:10" ht="50.1" customHeight="1">
      <c r="C37" s="9" t="s">
        <v>181</v>
      </c>
      <c r="D37" s="1" t="s">
        <v>17</v>
      </c>
      <c r="E37" s="1" t="s">
        <v>291</v>
      </c>
      <c r="G37" s="12" t="s">
        <v>195</v>
      </c>
      <c r="H37" s="10" t="s">
        <v>196</v>
      </c>
      <c r="I37" s="10" t="s">
        <v>305</v>
      </c>
      <c r="J37" s="10">
        <f xml:space="preserve"> 120</f>
        <v>120</v>
      </c>
    </row>
    <row r="38" spans="3:10" ht="50.1" customHeight="1">
      <c r="C38" s="9" t="s">
        <v>182</v>
      </c>
      <c r="D38" s="1" t="s">
        <v>16</v>
      </c>
      <c r="E38" s="1" t="s">
        <v>292</v>
      </c>
      <c r="G38" s="12" t="s">
        <v>197</v>
      </c>
      <c r="H38" s="10" t="s">
        <v>198</v>
      </c>
      <c r="I38" s="10" t="s">
        <v>306</v>
      </c>
      <c r="J38" s="10">
        <f xml:space="preserve"> 140</f>
        <v>140</v>
      </c>
    </row>
    <row r="39" spans="3:10" ht="50.1" customHeight="1">
      <c r="C39" s="9" t="s">
        <v>251</v>
      </c>
      <c r="D39" s="1" t="s">
        <v>293</v>
      </c>
      <c r="E39" s="1" t="s">
        <v>294</v>
      </c>
      <c r="G39" s="12" t="s">
        <v>199</v>
      </c>
      <c r="H39" s="10" t="s">
        <v>200</v>
      </c>
      <c r="I39" s="10" t="s">
        <v>307</v>
      </c>
      <c r="J39" s="10">
        <f xml:space="preserve"> 140</f>
        <v>140</v>
      </c>
    </row>
    <row r="40" spans="3:10" ht="50.1" customHeight="1">
      <c r="G40" s="12" t="s">
        <v>201</v>
      </c>
      <c r="H40" s="10" t="s">
        <v>202</v>
      </c>
      <c r="I40" s="10" t="s">
        <v>308</v>
      </c>
      <c r="J40" s="10">
        <f xml:space="preserve"> 140</f>
        <v>140</v>
      </c>
    </row>
    <row r="41" spans="3:10" ht="50.1" customHeight="1">
      <c r="G41" s="12" t="s">
        <v>203</v>
      </c>
      <c r="H41" s="10" t="s">
        <v>204</v>
      </c>
      <c r="I41" s="10" t="s">
        <v>309</v>
      </c>
      <c r="J41" s="10" t="s">
        <v>239</v>
      </c>
    </row>
    <row r="42" spans="3:10" ht="50.1" customHeight="1">
      <c r="G42" s="12" t="s">
        <v>205</v>
      </c>
      <c r="H42" s="10" t="s">
        <v>206</v>
      </c>
      <c r="I42" s="10" t="s">
        <v>310</v>
      </c>
      <c r="J42" s="10" t="s">
        <v>239</v>
      </c>
    </row>
    <row r="43" spans="3:10" ht="50.1" customHeight="1">
      <c r="G43" s="12" t="s">
        <v>207</v>
      </c>
      <c r="H43" s="10" t="s">
        <v>208</v>
      </c>
      <c r="I43" s="10" t="s">
        <v>311</v>
      </c>
      <c r="J43" s="10">
        <f xml:space="preserve"> 80</f>
        <v>80</v>
      </c>
    </row>
    <row r="44" spans="3:10" ht="50.1" customHeight="1">
      <c r="G44" s="12" t="s">
        <v>209</v>
      </c>
      <c r="H44" s="10" t="s">
        <v>210</v>
      </c>
      <c r="I44" s="10" t="s">
        <v>312</v>
      </c>
      <c r="J44" s="10">
        <f xml:space="preserve"> 80</f>
        <v>80</v>
      </c>
    </row>
    <row r="45" spans="3:10" ht="50.1" customHeight="1">
      <c r="G45" s="12" t="s">
        <v>211</v>
      </c>
      <c r="H45" s="10" t="s">
        <v>212</v>
      </c>
      <c r="I45" s="10" t="s">
        <v>313</v>
      </c>
      <c r="J45" s="10">
        <f xml:space="preserve"> 80</f>
        <v>80</v>
      </c>
    </row>
    <row r="46" spans="3:10" ht="50.1" customHeight="1">
      <c r="G46" s="12" t="s">
        <v>213</v>
      </c>
      <c r="H46" s="10" t="s">
        <v>214</v>
      </c>
      <c r="I46" s="10" t="s">
        <v>314</v>
      </c>
      <c r="J46" s="10">
        <f xml:space="preserve"> 110</f>
        <v>110</v>
      </c>
    </row>
    <row r="47" spans="3:10" ht="50.1" customHeight="1">
      <c r="G47" s="12" t="s">
        <v>215</v>
      </c>
      <c r="H47" s="10" t="s">
        <v>216</v>
      </c>
      <c r="I47" s="10" t="s">
        <v>315</v>
      </c>
      <c r="J47" s="10">
        <f xml:space="preserve"> 110</f>
        <v>110</v>
      </c>
    </row>
    <row r="48" spans="3:10" ht="50.1" customHeight="1">
      <c r="G48" s="12" t="s">
        <v>217</v>
      </c>
      <c r="H48" s="10" t="s">
        <v>218</v>
      </c>
      <c r="I48" s="10" t="s">
        <v>316</v>
      </c>
      <c r="J48" s="10">
        <f xml:space="preserve"> 110</f>
        <v>110</v>
      </c>
    </row>
    <row r="49" spans="7:10" ht="50.1" customHeight="1">
      <c r="G49" s="12" t="s">
        <v>219</v>
      </c>
      <c r="H49" s="10" t="s">
        <v>220</v>
      </c>
      <c r="I49" s="10" t="s">
        <v>317</v>
      </c>
      <c r="J49" s="10">
        <f xml:space="preserve"> 140</f>
        <v>140</v>
      </c>
    </row>
    <row r="50" spans="7:10" ht="50.1" customHeight="1">
      <c r="G50" s="12" t="s">
        <v>221</v>
      </c>
      <c r="H50" s="10" t="s">
        <v>222</v>
      </c>
      <c r="I50" s="10" t="s">
        <v>318</v>
      </c>
      <c r="J50" s="10">
        <f xml:space="preserve"> 140</f>
        <v>140</v>
      </c>
    </row>
    <row r="51" spans="7:10" ht="50.1" customHeight="1">
      <c r="G51" s="12" t="s">
        <v>223</v>
      </c>
      <c r="H51" s="10" t="s">
        <v>224</v>
      </c>
      <c r="I51" s="10" t="s">
        <v>319</v>
      </c>
      <c r="J51" s="10">
        <f xml:space="preserve"> 140</f>
        <v>140</v>
      </c>
    </row>
    <row r="52" spans="7:10" ht="50.1" customHeight="1">
      <c r="G52" s="12" t="s">
        <v>225</v>
      </c>
      <c r="H52" s="10" t="s">
        <v>226</v>
      </c>
      <c r="I52" s="10" t="s">
        <v>320</v>
      </c>
      <c r="J52" s="10" t="s">
        <v>239</v>
      </c>
    </row>
    <row r="53" spans="7:10" ht="50.1" customHeight="1">
      <c r="G53" s="12" t="s">
        <v>227</v>
      </c>
      <c r="H53" s="10" t="s">
        <v>228</v>
      </c>
      <c r="I53" s="10" t="s">
        <v>321</v>
      </c>
      <c r="J53" s="10" t="s">
        <v>239</v>
      </c>
    </row>
    <row r="54" spans="7:10" ht="50.1" customHeight="1">
      <c r="G54" s="12" t="s">
        <v>229</v>
      </c>
      <c r="H54" s="10" t="s">
        <v>230</v>
      </c>
      <c r="I54" s="10" t="s">
        <v>322</v>
      </c>
      <c r="J54" s="10" t="s">
        <v>239</v>
      </c>
    </row>
    <row r="55" spans="7:10" ht="50.1" customHeight="1">
      <c r="G55" s="12" t="s">
        <v>231</v>
      </c>
      <c r="H55" s="10" t="s">
        <v>232</v>
      </c>
      <c r="I55" s="10" t="s">
        <v>323</v>
      </c>
      <c r="J55" s="10" t="s">
        <v>239</v>
      </c>
    </row>
    <row r="56" spans="7:10" ht="50.1" customHeight="1">
      <c r="G56" s="12" t="s">
        <v>233</v>
      </c>
      <c r="H56" s="10" t="s">
        <v>234</v>
      </c>
      <c r="I56" s="10" t="s">
        <v>324</v>
      </c>
      <c r="J56" s="10">
        <f xml:space="preserve"> 100</f>
        <v>100</v>
      </c>
    </row>
    <row r="57" spans="7:10" ht="50.1" customHeight="1">
      <c r="G57" s="12" t="s">
        <v>235</v>
      </c>
      <c r="H57" s="10" t="s">
        <v>236</v>
      </c>
      <c r="I57" s="10" t="s">
        <v>325</v>
      </c>
      <c r="J57" s="10">
        <f xml:space="preserve"> 80</f>
        <v>80</v>
      </c>
    </row>
    <row r="58" spans="7:10" ht="50.1" customHeight="1">
      <c r="G58" s="12" t="s">
        <v>237</v>
      </c>
      <c r="H58" s="10" t="s">
        <v>238</v>
      </c>
      <c r="I58" s="10" t="s">
        <v>326</v>
      </c>
      <c r="J58" s="10">
        <f xml:space="preserve"> 50</f>
        <v>50</v>
      </c>
    </row>
    <row r="59" spans="7:10" ht="50.1" customHeight="1">
      <c r="G59" s="12" t="s">
        <v>271</v>
      </c>
      <c r="H59" s="10" t="s">
        <v>327</v>
      </c>
      <c r="I59" s="10" t="s">
        <v>289</v>
      </c>
      <c r="J59" s="10" t="s">
        <v>328</v>
      </c>
    </row>
  </sheetData>
  <mergeCells count="8">
    <mergeCell ref="C9:D9"/>
    <mergeCell ref="F9:G9"/>
    <mergeCell ref="C4:D4"/>
    <mergeCell ref="F4:G4"/>
    <mergeCell ref="H4:J4"/>
    <mergeCell ref="C5:D5"/>
    <mergeCell ref="F5:G5"/>
    <mergeCell ref="C7:D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43102-DD6E-4A0A-8FA1-A758862F47D7}">
  <dimension ref="C4:K71"/>
  <sheetViews>
    <sheetView tabSelected="1" zoomScale="70" zoomScaleNormal="70" workbookViewId="0">
      <selection activeCell="I24" sqref="I24"/>
    </sheetView>
  </sheetViews>
  <sheetFormatPr defaultColWidth="20.625" defaultRowHeight="50.1" customHeight="1"/>
  <cols>
    <col min="4" max="4" width="68" customWidth="1"/>
    <col min="5" max="5" width="52.75" customWidth="1"/>
    <col min="8" max="8" width="57.75" customWidth="1"/>
    <col min="9" max="9" width="35.375" customWidth="1"/>
    <col min="10" max="10" width="42.375" customWidth="1"/>
  </cols>
  <sheetData>
    <row r="4" spans="3:10" ht="50.1" customHeight="1">
      <c r="C4" s="14" t="s">
        <v>0</v>
      </c>
      <c r="D4" s="15"/>
      <c r="E4" s="1" t="s">
        <v>150</v>
      </c>
      <c r="F4" s="14" t="s">
        <v>1</v>
      </c>
      <c r="G4" s="14"/>
      <c r="H4" s="17" t="s">
        <v>240</v>
      </c>
      <c r="I4" s="17"/>
      <c r="J4" s="17"/>
    </row>
    <row r="5" spans="3:10" ht="50.1" customHeight="1">
      <c r="C5" s="14" t="s">
        <v>2</v>
      </c>
      <c r="D5" s="15"/>
      <c r="E5" s="1" t="s">
        <v>3</v>
      </c>
      <c r="F5" s="14" t="s">
        <v>4</v>
      </c>
      <c r="G5" s="14"/>
      <c r="H5" s="2" t="s">
        <v>5</v>
      </c>
      <c r="I5" s="3" t="s">
        <v>6</v>
      </c>
      <c r="J5" s="4" t="s">
        <v>7</v>
      </c>
    </row>
    <row r="7" spans="3:10" ht="50.1" customHeight="1">
      <c r="C7" s="14" t="s">
        <v>8</v>
      </c>
      <c r="D7" s="14"/>
      <c r="E7" s="5" t="s">
        <v>241</v>
      </c>
    </row>
    <row r="9" spans="3:10" ht="50.1" customHeight="1">
      <c r="C9" s="14" t="s">
        <v>9</v>
      </c>
      <c r="D9" s="15"/>
      <c r="E9" s="1" t="s">
        <v>3</v>
      </c>
      <c r="F9" s="16" t="s">
        <v>10</v>
      </c>
      <c r="G9" s="15"/>
      <c r="H9" s="6">
        <v>46049</v>
      </c>
      <c r="I9" s="3" t="s">
        <v>11</v>
      </c>
      <c r="J9" s="1" t="s">
        <v>41</v>
      </c>
    </row>
    <row r="11" spans="3:10" ht="50.1" customHeight="1">
      <c r="C11" s="8" t="s">
        <v>13</v>
      </c>
      <c r="D11" s="8" t="s">
        <v>14</v>
      </c>
      <c r="G11" s="8" t="s">
        <v>13</v>
      </c>
      <c r="H11" s="8" t="s">
        <v>55</v>
      </c>
    </row>
    <row r="12" spans="3:10" ht="50.1" customHeight="1">
      <c r="C12" s="9">
        <v>1</v>
      </c>
      <c r="D12" s="1" t="s">
        <v>329</v>
      </c>
      <c r="G12" s="9" t="s">
        <v>24</v>
      </c>
      <c r="H12" s="1" t="s">
        <v>342</v>
      </c>
    </row>
    <row r="13" spans="3:10" ht="50.1" customHeight="1">
      <c r="C13" s="9">
        <v>2</v>
      </c>
      <c r="D13" s="1" t="s">
        <v>340</v>
      </c>
      <c r="G13" s="9" t="s">
        <v>26</v>
      </c>
      <c r="H13" s="1" t="s">
        <v>353</v>
      </c>
    </row>
    <row r="14" spans="3:10" ht="50.1" customHeight="1">
      <c r="C14" s="9">
        <v>3</v>
      </c>
      <c r="D14" s="1" t="s">
        <v>242</v>
      </c>
      <c r="G14" s="9" t="s">
        <v>28</v>
      </c>
      <c r="H14" s="1" t="s">
        <v>343</v>
      </c>
    </row>
    <row r="15" spans="3:10" ht="50.1" customHeight="1">
      <c r="C15" s="9">
        <v>4</v>
      </c>
      <c r="D15" s="1" t="s">
        <v>330</v>
      </c>
      <c r="G15" s="9" t="s">
        <v>30</v>
      </c>
      <c r="H15" s="1" t="s">
        <v>344</v>
      </c>
    </row>
    <row r="16" spans="3:10" ht="50.1" customHeight="1">
      <c r="C16" s="9">
        <v>5</v>
      </c>
      <c r="D16" s="1" t="s">
        <v>331</v>
      </c>
      <c r="G16" s="9" t="s">
        <v>43</v>
      </c>
      <c r="H16" s="1" t="s">
        <v>243</v>
      </c>
    </row>
    <row r="17" spans="3:11" ht="50.1" customHeight="1">
      <c r="C17" s="9">
        <v>6</v>
      </c>
      <c r="D17" s="1" t="s">
        <v>332</v>
      </c>
      <c r="G17" s="9" t="s">
        <v>45</v>
      </c>
      <c r="H17" s="1" t="s">
        <v>244</v>
      </c>
    </row>
    <row r="18" spans="3:11" ht="50.1" customHeight="1">
      <c r="C18" s="9">
        <v>7</v>
      </c>
      <c r="D18" s="1" t="s">
        <v>333</v>
      </c>
      <c r="G18" s="9" t="s">
        <v>32</v>
      </c>
      <c r="H18" s="1" t="s">
        <v>245</v>
      </c>
    </row>
    <row r="19" spans="3:11" ht="50.1" customHeight="1">
      <c r="C19" s="9">
        <v>8</v>
      </c>
      <c r="D19" s="1" t="s">
        <v>334</v>
      </c>
      <c r="G19" s="9" t="s">
        <v>161</v>
      </c>
      <c r="H19" s="1" t="s">
        <v>345</v>
      </c>
    </row>
    <row r="20" spans="3:11" ht="50.1" customHeight="1">
      <c r="C20" s="9">
        <v>9</v>
      </c>
      <c r="D20" s="1" t="s">
        <v>335</v>
      </c>
      <c r="G20" s="9" t="s">
        <v>163</v>
      </c>
      <c r="H20" s="1" t="s">
        <v>346</v>
      </c>
    </row>
    <row r="21" spans="3:11" ht="50.1" customHeight="1">
      <c r="C21" s="9">
        <v>10</v>
      </c>
      <c r="D21" s="1" t="s">
        <v>336</v>
      </c>
      <c r="G21" s="9" t="s">
        <v>165</v>
      </c>
      <c r="H21" s="1" t="s">
        <v>348</v>
      </c>
    </row>
    <row r="22" spans="3:11" ht="50.1" customHeight="1">
      <c r="C22" s="9">
        <v>11</v>
      </c>
      <c r="D22" s="1" t="s">
        <v>337</v>
      </c>
      <c r="G22" s="9" t="s">
        <v>167</v>
      </c>
      <c r="H22" s="1" t="s">
        <v>349</v>
      </c>
    </row>
    <row r="23" spans="3:11" ht="50.1" customHeight="1">
      <c r="C23" s="9">
        <v>12</v>
      </c>
      <c r="D23" s="1" t="s">
        <v>338</v>
      </c>
      <c r="G23" s="9" t="s">
        <v>169</v>
      </c>
      <c r="H23" s="1" t="s">
        <v>350</v>
      </c>
    </row>
    <row r="24" spans="3:11" ht="50.1" customHeight="1">
      <c r="C24" s="9">
        <v>13</v>
      </c>
      <c r="D24" s="1" t="s">
        <v>341</v>
      </c>
      <c r="G24" s="9" t="s">
        <v>289</v>
      </c>
      <c r="H24" s="1" t="s">
        <v>351</v>
      </c>
    </row>
    <row r="25" spans="3:11" ht="50.1" customHeight="1">
      <c r="C25" s="9">
        <v>14</v>
      </c>
      <c r="D25" s="1" t="s">
        <v>339</v>
      </c>
      <c r="G25" s="9" t="s">
        <v>347</v>
      </c>
      <c r="H25" s="1" t="s">
        <v>352</v>
      </c>
    </row>
    <row r="27" spans="3:11" ht="50.1" customHeight="1">
      <c r="C27" s="8" t="s">
        <v>77</v>
      </c>
      <c r="D27" s="8" t="s">
        <v>15</v>
      </c>
      <c r="E27" s="8" t="s">
        <v>78</v>
      </c>
      <c r="G27" s="8" t="s">
        <v>18</v>
      </c>
      <c r="H27" s="8" t="s">
        <v>374</v>
      </c>
      <c r="I27" s="8" t="s">
        <v>19</v>
      </c>
      <c r="J27" s="8" t="s">
        <v>55</v>
      </c>
      <c r="K27" s="8" t="s">
        <v>20</v>
      </c>
    </row>
    <row r="28" spans="3:11" ht="50.1" customHeight="1">
      <c r="C28" s="9" t="s">
        <v>79</v>
      </c>
      <c r="D28" s="1" t="s">
        <v>16</v>
      </c>
      <c r="E28" s="1" t="s">
        <v>246</v>
      </c>
      <c r="G28" s="12" t="s">
        <v>21</v>
      </c>
      <c r="H28" s="10" t="s">
        <v>375</v>
      </c>
      <c r="I28" s="10" t="s">
        <v>259</v>
      </c>
      <c r="J28" s="10" t="s">
        <v>24</v>
      </c>
      <c r="K28" s="10" t="s">
        <v>416</v>
      </c>
    </row>
    <row r="29" spans="3:11" ht="50.1" customHeight="1">
      <c r="C29" s="9" t="s">
        <v>80</v>
      </c>
      <c r="D29" s="1" t="s">
        <v>17</v>
      </c>
      <c r="E29" s="1" t="s">
        <v>354</v>
      </c>
      <c r="G29" s="12" t="s">
        <v>23</v>
      </c>
      <c r="H29" s="10" t="s">
        <v>375</v>
      </c>
      <c r="I29" s="10" t="s">
        <v>376</v>
      </c>
      <c r="J29" s="10" t="s">
        <v>24</v>
      </c>
      <c r="K29" s="10" t="s">
        <v>417</v>
      </c>
    </row>
    <row r="30" spans="3:11" ht="50.1" customHeight="1">
      <c r="C30" s="9" t="s">
        <v>81</v>
      </c>
      <c r="D30" s="1" t="s">
        <v>16</v>
      </c>
      <c r="E30" s="1" t="s">
        <v>355</v>
      </c>
      <c r="G30" s="12" t="s">
        <v>25</v>
      </c>
      <c r="H30" s="10" t="s">
        <v>375</v>
      </c>
      <c r="I30" s="10" t="s">
        <v>377</v>
      </c>
      <c r="J30" s="10" t="s">
        <v>24</v>
      </c>
      <c r="K30" s="10" t="s">
        <v>417</v>
      </c>
    </row>
    <row r="31" spans="3:11" ht="50.1" customHeight="1">
      <c r="C31" s="9" t="s">
        <v>83</v>
      </c>
      <c r="D31" s="1" t="s">
        <v>17</v>
      </c>
      <c r="E31" s="1" t="s">
        <v>247</v>
      </c>
      <c r="G31" s="12" t="s">
        <v>27</v>
      </c>
      <c r="H31" s="10" t="s">
        <v>375</v>
      </c>
      <c r="I31" s="10" t="s">
        <v>378</v>
      </c>
      <c r="J31" s="10" t="s">
        <v>24</v>
      </c>
      <c r="K31" s="10" t="s">
        <v>417</v>
      </c>
    </row>
    <row r="32" spans="3:11" ht="50.1" customHeight="1">
      <c r="C32" s="9" t="s">
        <v>85</v>
      </c>
      <c r="D32" s="1" t="s">
        <v>16</v>
      </c>
      <c r="E32" s="1" t="s">
        <v>356</v>
      </c>
      <c r="G32" s="12" t="s">
        <v>29</v>
      </c>
      <c r="H32" s="10" t="s">
        <v>375</v>
      </c>
      <c r="I32" s="10" t="s">
        <v>379</v>
      </c>
      <c r="J32" s="10" t="s">
        <v>24</v>
      </c>
      <c r="K32" s="10" t="s">
        <v>416</v>
      </c>
    </row>
    <row r="33" spans="3:11" ht="50.1" customHeight="1">
      <c r="C33" s="9" t="s">
        <v>86</v>
      </c>
      <c r="D33" s="1" t="s">
        <v>17</v>
      </c>
      <c r="E33" s="1" t="s">
        <v>357</v>
      </c>
      <c r="G33" s="12" t="s">
        <v>31</v>
      </c>
      <c r="H33" s="10" t="s">
        <v>375</v>
      </c>
      <c r="I33" s="10" t="s">
        <v>380</v>
      </c>
      <c r="J33" s="10" t="s">
        <v>24</v>
      </c>
      <c r="K33" s="10" t="s">
        <v>417</v>
      </c>
    </row>
    <row r="34" spans="3:11" ht="50.1" customHeight="1">
      <c r="C34" s="9" t="s">
        <v>88</v>
      </c>
      <c r="D34" s="1" t="s">
        <v>16</v>
      </c>
      <c r="E34" s="1" t="s">
        <v>248</v>
      </c>
      <c r="G34" s="12" t="s">
        <v>44</v>
      </c>
      <c r="H34" s="10" t="s">
        <v>381</v>
      </c>
      <c r="I34" s="10" t="s">
        <v>260</v>
      </c>
      <c r="J34" s="10" t="s">
        <v>26</v>
      </c>
      <c r="K34" s="10" t="s">
        <v>416</v>
      </c>
    </row>
    <row r="35" spans="3:11" ht="50.1" customHeight="1">
      <c r="C35" s="9" t="s">
        <v>90</v>
      </c>
      <c r="D35" s="1" t="s">
        <v>17</v>
      </c>
      <c r="E35" s="1" t="s">
        <v>358</v>
      </c>
      <c r="G35" s="12" t="s">
        <v>46</v>
      </c>
      <c r="H35" s="10" t="s">
        <v>381</v>
      </c>
      <c r="I35" s="10" t="s">
        <v>382</v>
      </c>
      <c r="J35" s="10" t="s">
        <v>26</v>
      </c>
      <c r="K35" s="10" t="s">
        <v>417</v>
      </c>
    </row>
    <row r="36" spans="3:11" ht="50.1" customHeight="1">
      <c r="C36" s="9" t="s">
        <v>91</v>
      </c>
      <c r="D36" s="1" t="s">
        <v>16</v>
      </c>
      <c r="E36" s="1" t="s">
        <v>359</v>
      </c>
      <c r="G36" s="12" t="s">
        <v>191</v>
      </c>
      <c r="H36" s="10" t="s">
        <v>381</v>
      </c>
      <c r="I36" s="10" t="s">
        <v>383</v>
      </c>
      <c r="J36" s="10" t="s">
        <v>26</v>
      </c>
      <c r="K36" s="10" t="s">
        <v>417</v>
      </c>
    </row>
    <row r="37" spans="3:11" ht="50.1" customHeight="1">
      <c r="C37" s="9" t="s">
        <v>179</v>
      </c>
      <c r="D37" s="1" t="s">
        <v>17</v>
      </c>
      <c r="E37" s="1" t="s">
        <v>249</v>
      </c>
      <c r="G37" s="12" t="s">
        <v>193</v>
      </c>
      <c r="H37" s="10" t="s">
        <v>381</v>
      </c>
      <c r="I37" s="10" t="s">
        <v>384</v>
      </c>
      <c r="J37" s="10" t="s">
        <v>26</v>
      </c>
      <c r="K37" s="10" t="s">
        <v>417</v>
      </c>
    </row>
    <row r="38" spans="3:11" ht="50.1" customHeight="1">
      <c r="C38" s="9" t="s">
        <v>181</v>
      </c>
      <c r="D38" s="1" t="s">
        <v>16</v>
      </c>
      <c r="E38" s="1" t="s">
        <v>360</v>
      </c>
      <c r="G38" s="12" t="s">
        <v>195</v>
      </c>
      <c r="H38" s="10" t="s">
        <v>381</v>
      </c>
      <c r="I38" s="10" t="s">
        <v>385</v>
      </c>
      <c r="J38" s="10" t="s">
        <v>26</v>
      </c>
      <c r="K38" s="10" t="s">
        <v>416</v>
      </c>
    </row>
    <row r="39" spans="3:11" ht="50.1" customHeight="1">
      <c r="C39" s="9" t="s">
        <v>182</v>
      </c>
      <c r="D39" s="1" t="s">
        <v>17</v>
      </c>
      <c r="E39" s="1" t="s">
        <v>250</v>
      </c>
      <c r="G39" s="12" t="s">
        <v>197</v>
      </c>
      <c r="H39" s="10" t="s">
        <v>386</v>
      </c>
      <c r="I39" s="10" t="s">
        <v>261</v>
      </c>
      <c r="J39" s="10" t="s">
        <v>28</v>
      </c>
      <c r="K39" s="10" t="s">
        <v>416</v>
      </c>
    </row>
    <row r="40" spans="3:11" ht="50.1" customHeight="1">
      <c r="C40" s="9" t="s">
        <v>251</v>
      </c>
      <c r="D40" s="1" t="s">
        <v>16</v>
      </c>
      <c r="E40" s="1" t="s">
        <v>268</v>
      </c>
      <c r="G40" s="12" t="s">
        <v>199</v>
      </c>
      <c r="H40" s="10" t="s">
        <v>386</v>
      </c>
      <c r="I40" s="10" t="s">
        <v>387</v>
      </c>
      <c r="J40" s="10" t="s">
        <v>28</v>
      </c>
      <c r="K40" s="10" t="s">
        <v>417</v>
      </c>
    </row>
    <row r="41" spans="3:11" ht="50.1" customHeight="1">
      <c r="C41" s="9" t="s">
        <v>252</v>
      </c>
      <c r="D41" s="1" t="s">
        <v>17</v>
      </c>
      <c r="E41" s="1" t="s">
        <v>361</v>
      </c>
      <c r="G41" s="12" t="s">
        <v>201</v>
      </c>
      <c r="H41" s="10" t="s">
        <v>386</v>
      </c>
      <c r="I41" s="10" t="s">
        <v>262</v>
      </c>
      <c r="J41" s="10" t="s">
        <v>28</v>
      </c>
      <c r="K41" s="10" t="s">
        <v>417</v>
      </c>
    </row>
    <row r="42" spans="3:11" ht="50.1" customHeight="1">
      <c r="C42" s="9" t="s">
        <v>253</v>
      </c>
      <c r="D42" s="1" t="s">
        <v>16</v>
      </c>
      <c r="E42" s="1" t="s">
        <v>362</v>
      </c>
      <c r="G42" s="12" t="s">
        <v>203</v>
      </c>
      <c r="H42" s="10" t="s">
        <v>388</v>
      </c>
      <c r="I42" s="10" t="s">
        <v>263</v>
      </c>
      <c r="J42" s="10" t="s">
        <v>30</v>
      </c>
      <c r="K42" s="10" t="s">
        <v>416</v>
      </c>
    </row>
    <row r="43" spans="3:11" ht="50.1" customHeight="1">
      <c r="C43" s="9" t="s">
        <v>254</v>
      </c>
      <c r="D43" s="1" t="s">
        <v>17</v>
      </c>
      <c r="E43" s="1" t="s">
        <v>363</v>
      </c>
      <c r="G43" s="12" t="s">
        <v>205</v>
      </c>
      <c r="H43" s="10" t="s">
        <v>388</v>
      </c>
      <c r="I43" s="10" t="s">
        <v>389</v>
      </c>
      <c r="J43" s="10" t="s">
        <v>30</v>
      </c>
      <c r="K43" s="10" t="s">
        <v>417</v>
      </c>
    </row>
    <row r="44" spans="3:11" ht="50.1" customHeight="1">
      <c r="C44" s="9" t="s">
        <v>255</v>
      </c>
      <c r="D44" s="1" t="s">
        <v>16</v>
      </c>
      <c r="E44" s="1" t="s">
        <v>256</v>
      </c>
      <c r="G44" s="12" t="s">
        <v>207</v>
      </c>
      <c r="H44" s="10" t="s">
        <v>388</v>
      </c>
      <c r="I44" s="10" t="s">
        <v>390</v>
      </c>
      <c r="J44" s="10" t="s">
        <v>30</v>
      </c>
      <c r="K44" s="10" t="s">
        <v>417</v>
      </c>
    </row>
    <row r="45" spans="3:11" ht="50.1" customHeight="1">
      <c r="C45" s="9" t="s">
        <v>257</v>
      </c>
      <c r="D45" s="1" t="s">
        <v>17</v>
      </c>
      <c r="E45" s="1" t="s">
        <v>258</v>
      </c>
      <c r="G45" s="12" t="s">
        <v>209</v>
      </c>
      <c r="H45" s="10" t="s">
        <v>388</v>
      </c>
      <c r="I45" s="10" t="s">
        <v>391</v>
      </c>
      <c r="J45" s="10" t="s">
        <v>30</v>
      </c>
      <c r="K45" s="10" t="s">
        <v>417</v>
      </c>
    </row>
    <row r="46" spans="3:11" ht="50.1" customHeight="1">
      <c r="C46" s="9" t="s">
        <v>364</v>
      </c>
      <c r="D46" s="1" t="s">
        <v>293</v>
      </c>
      <c r="E46" s="1" t="s">
        <v>365</v>
      </c>
      <c r="G46" s="12" t="s">
        <v>211</v>
      </c>
      <c r="H46" s="10" t="s">
        <v>388</v>
      </c>
      <c r="I46" s="10" t="s">
        <v>392</v>
      </c>
      <c r="J46" s="10" t="s">
        <v>30</v>
      </c>
      <c r="K46" s="10" t="s">
        <v>417</v>
      </c>
    </row>
    <row r="47" spans="3:11" ht="50.1" customHeight="1">
      <c r="C47" s="9" t="s">
        <v>366</v>
      </c>
      <c r="D47" s="1" t="s">
        <v>293</v>
      </c>
      <c r="E47" s="1" t="s">
        <v>367</v>
      </c>
      <c r="G47" s="12" t="s">
        <v>213</v>
      </c>
      <c r="H47" s="10" t="s">
        <v>388</v>
      </c>
      <c r="I47" s="10" t="s">
        <v>393</v>
      </c>
      <c r="J47" s="10" t="s">
        <v>30</v>
      </c>
      <c r="K47" s="10" t="s">
        <v>416</v>
      </c>
    </row>
    <row r="48" spans="3:11" ht="50.1" customHeight="1">
      <c r="C48" s="9" t="s">
        <v>368</v>
      </c>
      <c r="D48" s="1" t="s">
        <v>293</v>
      </c>
      <c r="E48" s="1" t="s">
        <v>369</v>
      </c>
      <c r="G48" s="12" t="s">
        <v>215</v>
      </c>
      <c r="H48" s="10" t="s">
        <v>388</v>
      </c>
      <c r="I48" s="10" t="s">
        <v>394</v>
      </c>
      <c r="J48" s="10" t="s">
        <v>30</v>
      </c>
      <c r="K48" s="10" t="s">
        <v>417</v>
      </c>
    </row>
    <row r="49" spans="3:11" ht="50.1" customHeight="1">
      <c r="C49" s="9" t="s">
        <v>370</v>
      </c>
      <c r="D49" s="1" t="s">
        <v>293</v>
      </c>
      <c r="E49" s="1" t="s">
        <v>373</v>
      </c>
      <c r="G49" s="12" t="s">
        <v>217</v>
      </c>
      <c r="H49" s="10" t="s">
        <v>395</v>
      </c>
      <c r="I49" s="10" t="s">
        <v>264</v>
      </c>
      <c r="J49" s="10" t="s">
        <v>43</v>
      </c>
      <c r="K49" s="10" t="s">
        <v>416</v>
      </c>
    </row>
    <row r="50" spans="3:11" ht="50.1" customHeight="1">
      <c r="C50" s="9" t="s">
        <v>371</v>
      </c>
      <c r="D50" s="1" t="s">
        <v>293</v>
      </c>
      <c r="E50" s="1" t="s">
        <v>372</v>
      </c>
      <c r="G50" s="12" t="s">
        <v>219</v>
      </c>
      <c r="H50" s="10" t="s">
        <v>395</v>
      </c>
      <c r="I50" s="10" t="s">
        <v>396</v>
      </c>
      <c r="J50" s="10" t="s">
        <v>43</v>
      </c>
      <c r="K50" s="10" t="s">
        <v>417</v>
      </c>
    </row>
    <row r="51" spans="3:11" ht="50.1" customHeight="1">
      <c r="G51" s="12" t="s">
        <v>221</v>
      </c>
      <c r="H51" s="10" t="s">
        <v>395</v>
      </c>
      <c r="I51" s="10" t="s">
        <v>397</v>
      </c>
      <c r="J51" s="10" t="s">
        <v>43</v>
      </c>
      <c r="K51" s="10" t="s">
        <v>417</v>
      </c>
    </row>
    <row r="52" spans="3:11" ht="50.1" customHeight="1">
      <c r="G52" s="12" t="s">
        <v>223</v>
      </c>
      <c r="H52" s="10" t="s">
        <v>395</v>
      </c>
      <c r="I52" s="10" t="s">
        <v>265</v>
      </c>
      <c r="J52" s="10" t="s">
        <v>43</v>
      </c>
      <c r="K52" s="10" t="s">
        <v>416</v>
      </c>
    </row>
    <row r="53" spans="3:11" ht="50.1" customHeight="1">
      <c r="G53" s="12" t="s">
        <v>225</v>
      </c>
      <c r="H53" s="10" t="s">
        <v>398</v>
      </c>
      <c r="I53" s="10" t="s">
        <v>266</v>
      </c>
      <c r="J53" s="10" t="s">
        <v>45</v>
      </c>
      <c r="K53" s="10" t="s">
        <v>416</v>
      </c>
    </row>
    <row r="54" spans="3:11" ht="50.1" customHeight="1">
      <c r="G54" s="12" t="s">
        <v>227</v>
      </c>
      <c r="H54" s="10" t="s">
        <v>398</v>
      </c>
      <c r="I54" s="10" t="s">
        <v>399</v>
      </c>
      <c r="J54" s="10" t="s">
        <v>45</v>
      </c>
      <c r="K54" s="10" t="s">
        <v>417</v>
      </c>
    </row>
    <row r="55" spans="3:11" ht="50.1" customHeight="1">
      <c r="G55" s="12" t="s">
        <v>229</v>
      </c>
      <c r="H55" s="10" t="s">
        <v>398</v>
      </c>
      <c r="I55" s="10" t="s">
        <v>400</v>
      </c>
      <c r="J55" s="10" t="s">
        <v>45</v>
      </c>
      <c r="K55" s="10" t="s">
        <v>417</v>
      </c>
    </row>
    <row r="56" spans="3:11" ht="50.1" customHeight="1">
      <c r="G56" s="12" t="s">
        <v>231</v>
      </c>
      <c r="H56" s="10" t="s">
        <v>398</v>
      </c>
      <c r="I56" s="10" t="s">
        <v>267</v>
      </c>
      <c r="J56" s="10" t="s">
        <v>45</v>
      </c>
      <c r="K56" s="10" t="s">
        <v>416</v>
      </c>
    </row>
    <row r="57" spans="3:11" ht="50.1" customHeight="1">
      <c r="G57" s="12" t="s">
        <v>233</v>
      </c>
      <c r="H57" s="10" t="s">
        <v>401</v>
      </c>
      <c r="I57" s="10" t="s">
        <v>268</v>
      </c>
      <c r="J57" s="10" t="s">
        <v>32</v>
      </c>
      <c r="K57" s="10" t="s">
        <v>416</v>
      </c>
    </row>
    <row r="58" spans="3:11" ht="50.1" customHeight="1">
      <c r="G58" s="12" t="s">
        <v>235</v>
      </c>
      <c r="H58" s="10" t="s">
        <v>401</v>
      </c>
      <c r="I58" s="10" t="s">
        <v>269</v>
      </c>
      <c r="J58" s="10" t="s">
        <v>32</v>
      </c>
      <c r="K58" s="10" t="s">
        <v>417</v>
      </c>
    </row>
    <row r="59" spans="3:11" ht="50.1" customHeight="1">
      <c r="G59" s="12" t="s">
        <v>237</v>
      </c>
      <c r="H59" s="10" t="s">
        <v>401</v>
      </c>
      <c r="I59" s="10" t="s">
        <v>270</v>
      </c>
      <c r="J59" s="10" t="s">
        <v>32</v>
      </c>
      <c r="K59" s="10" t="s">
        <v>417</v>
      </c>
    </row>
    <row r="60" spans="3:11" ht="50.1" customHeight="1">
      <c r="G60" s="12" t="s">
        <v>271</v>
      </c>
      <c r="H60" s="10" t="s">
        <v>402</v>
      </c>
      <c r="I60" s="10" t="s">
        <v>272</v>
      </c>
      <c r="J60" s="10" t="s">
        <v>161</v>
      </c>
      <c r="K60" s="10" t="s">
        <v>416</v>
      </c>
    </row>
    <row r="61" spans="3:11" ht="50.1" customHeight="1">
      <c r="G61" s="12" t="s">
        <v>273</v>
      </c>
      <c r="H61" s="10" t="s">
        <v>402</v>
      </c>
      <c r="I61" s="10" t="s">
        <v>274</v>
      </c>
      <c r="J61" s="10" t="s">
        <v>161</v>
      </c>
      <c r="K61" s="10" t="s">
        <v>417</v>
      </c>
    </row>
    <row r="62" spans="3:11" ht="50.1" customHeight="1">
      <c r="G62" s="12" t="s">
        <v>275</v>
      </c>
      <c r="H62" s="10" t="s">
        <v>402</v>
      </c>
      <c r="I62" s="10" t="s">
        <v>276</v>
      </c>
      <c r="J62" s="10" t="s">
        <v>161</v>
      </c>
      <c r="K62" s="10" t="s">
        <v>416</v>
      </c>
    </row>
    <row r="63" spans="3:11" ht="50.1" customHeight="1">
      <c r="G63" s="12" t="s">
        <v>277</v>
      </c>
      <c r="H63" s="10" t="s">
        <v>402</v>
      </c>
      <c r="I63" s="10" t="s">
        <v>403</v>
      </c>
      <c r="J63" s="10" t="s">
        <v>161</v>
      </c>
      <c r="K63" s="10" t="s">
        <v>417</v>
      </c>
    </row>
    <row r="64" spans="3:11" ht="50.1" customHeight="1">
      <c r="G64" s="12" t="s">
        <v>278</v>
      </c>
      <c r="H64" s="10" t="s">
        <v>402</v>
      </c>
      <c r="I64" s="10" t="s">
        <v>404</v>
      </c>
      <c r="J64" s="10" t="s">
        <v>161</v>
      </c>
      <c r="K64" s="10" t="s">
        <v>417</v>
      </c>
    </row>
    <row r="65" spans="7:11" ht="50.1" customHeight="1">
      <c r="G65" s="12" t="s">
        <v>279</v>
      </c>
      <c r="H65" s="10" t="s">
        <v>405</v>
      </c>
      <c r="I65" s="10" t="s">
        <v>256</v>
      </c>
      <c r="J65" s="10" t="s">
        <v>163</v>
      </c>
      <c r="K65" s="10" t="s">
        <v>416</v>
      </c>
    </row>
    <row r="66" spans="7:11" ht="50.1" customHeight="1">
      <c r="G66" s="12" t="s">
        <v>280</v>
      </c>
      <c r="H66" s="10" t="s">
        <v>405</v>
      </c>
      <c r="I66" s="10" t="s">
        <v>258</v>
      </c>
      <c r="J66" s="10" t="s">
        <v>163</v>
      </c>
      <c r="K66" s="10" t="s">
        <v>417</v>
      </c>
    </row>
    <row r="67" spans="7:11" ht="50.1" customHeight="1">
      <c r="G67" s="12" t="s">
        <v>406</v>
      </c>
      <c r="H67" s="10" t="s">
        <v>407</v>
      </c>
      <c r="I67" s="10" t="s">
        <v>408</v>
      </c>
      <c r="J67" s="10" t="s">
        <v>165</v>
      </c>
      <c r="K67" s="10" t="s">
        <v>419</v>
      </c>
    </row>
    <row r="68" spans="7:11" ht="50.1" customHeight="1">
      <c r="G68" s="12" t="s">
        <v>409</v>
      </c>
      <c r="H68" s="10" t="s">
        <v>407</v>
      </c>
      <c r="I68" s="10" t="s">
        <v>410</v>
      </c>
      <c r="J68" s="10" t="s">
        <v>167</v>
      </c>
      <c r="K68" s="10" t="s">
        <v>419</v>
      </c>
    </row>
    <row r="69" spans="7:11" ht="50.1" customHeight="1">
      <c r="G69" s="12" t="s">
        <v>411</v>
      </c>
      <c r="H69" s="10" t="s">
        <v>407</v>
      </c>
      <c r="I69" s="10" t="s">
        <v>412</v>
      </c>
      <c r="J69" s="10" t="s">
        <v>169</v>
      </c>
      <c r="K69" s="10" t="s">
        <v>419</v>
      </c>
    </row>
    <row r="70" spans="7:11" ht="50.1" customHeight="1">
      <c r="G70" s="12" t="s">
        <v>413</v>
      </c>
      <c r="H70" s="10" t="s">
        <v>407</v>
      </c>
      <c r="I70" s="10" t="s">
        <v>418</v>
      </c>
      <c r="J70" s="10" t="s">
        <v>289</v>
      </c>
      <c r="K70" s="10" t="s">
        <v>420</v>
      </c>
    </row>
    <row r="71" spans="7:11" ht="50.1" customHeight="1">
      <c r="G71" s="12" t="s">
        <v>414</v>
      </c>
      <c r="H71" s="10" t="s">
        <v>407</v>
      </c>
      <c r="I71" s="10" t="s">
        <v>415</v>
      </c>
      <c r="J71" s="10" t="s">
        <v>347</v>
      </c>
      <c r="K71" s="10" t="s">
        <v>421</v>
      </c>
    </row>
  </sheetData>
  <mergeCells count="8">
    <mergeCell ref="C9:D9"/>
    <mergeCell ref="F9:G9"/>
    <mergeCell ref="C4:D4"/>
    <mergeCell ref="F4:G4"/>
    <mergeCell ref="H4:J4"/>
    <mergeCell ref="C5:D5"/>
    <mergeCell ref="F5:G5"/>
    <mergeCell ref="C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Bài 1</vt:lpstr>
      <vt:lpstr>Bài 2</vt:lpstr>
      <vt:lpstr>Bài 3</vt:lpstr>
      <vt:lpstr>Bài 4</vt:lpstr>
      <vt:lpstr>Bài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Khôi Nguyễn</cp:lastModifiedBy>
  <dcterms:created xsi:type="dcterms:W3CDTF">2015-06-05T18:17:20Z</dcterms:created>
  <dcterms:modified xsi:type="dcterms:W3CDTF">2026-01-27T09:31:55Z</dcterms:modified>
</cp:coreProperties>
</file>